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bde8ea89b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文献库" sheetId="1" r:id="Rc569625446ed4441"/>
    <x:sheet xmlns:r="http://schemas.openxmlformats.org/officeDocument/2006/relationships" name="实验参数提取" sheetId="2" r:id="R1a6ad68fe3704c2b"/>
    <x:sheet xmlns:r="http://schemas.openxmlformats.org/officeDocument/2006/relationships" name="ML变量设计" sheetId="3" r:id="R5e96203f9142418f"/>
    <x:sheet xmlns:r="http://schemas.openxmlformats.org/officeDocument/2006/relationships" name="学生阅读顺序" sheetId="4" r:id="R7a60077a642e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73886c5244b5f" /><Relationship Type="http://schemas.openxmlformats.org/officeDocument/2006/relationships/theme" Target="/xl/theme/theme1.xml" Id="R030926d972454803" /><Relationship Type="http://schemas.openxmlformats.org/officeDocument/2006/relationships/sharedStrings" Target="/xl/sharedStrings.xml" Id="R92b4b89420db4099" /><Relationship Type="http://schemas.openxmlformats.org/officeDocument/2006/relationships/worksheet" Target="/xl/worksheets/sheet1.xml" Id="Rc569625446ed4441" /><Relationship Type="http://schemas.openxmlformats.org/officeDocument/2006/relationships/worksheet" Target="/xl/worksheets/sheet2.xml" Id="R1a6ad68fe3704c2b" /><Relationship Type="http://schemas.openxmlformats.org/officeDocument/2006/relationships/worksheet" Target="/xl/worksheets/sheet3.xml" Id="R5e96203f9142418f" /><Relationship Type="http://schemas.openxmlformats.org/officeDocument/2006/relationships/worksheet" Target="/xl/worksheets/sheet4.xml" Id="R7a60077a642e4ef3" /></Relationships>
</file>

<file path=xl/tables/table1.xml><?xml version="1.0" encoding="utf-8"?>
<x:table xmlns:x="http://schemas.openxmlformats.org/spreadsheetml/2006/main" id="1" name="LiteratureTable" displayName="LiteratureTable" ref="A8:N28" headerRowCount="1" totalsRowCount="0" totalsRowShown="0">
  <x:tableColumns count="14">
    <x:tableColumn id="1" name="ID"/>
    <x:tableColumn id="2" name="分类"/>
    <x:tableColumn id="3" name="优先级"/>
    <x:tableColumn id="4" name="年份"/>
    <x:tableColumn id="5" name="第一作者"/>
    <x:tableColumn id="6" name="题目"/>
    <x:tableColumn id="7" name="期刊"/>
    <x:tableColumn id="8" name="DOI"/>
    <x:tableColumn id="9" name="木质素/体系"/>
    <x:tableColumn id="10" name="抗菌相关性"/>
    <x:tableColumn id="11" name="关键结果"/>
    <x:tableColumn id="12" name="开放获取"/>
    <x:tableColumn id="13" name="全文/下载入口"/>
    <x:tableColumn id="14" name="导师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ractionTable" displayName="ExtractionTable" ref="A5:AA19" headerRowCount="1" totalsRowCount="0" totalsRowShown="0">
  <x:tableColumns count="27">
    <x:tableColumn id="1" name="文献ID"/>
    <x:tableColumn id="2" name="年份"/>
    <x:tableColumn id="3" name="文章简称"/>
    <x:tableColumn id="4" name="木质素来源"/>
    <x:tableColumn id="5" name="前处理/木质素特征"/>
    <x:tableColumn id="6" name="CD制备方法"/>
    <x:tableColumn id="7" name="溶剂/介质"/>
    <x:tableColumn id="8" name="木质素投料/浓度"/>
    <x:tableColumn id="9" name="掺杂剂/添加剂"/>
    <x:tableColumn id="10" name="温度(°C)"/>
    <x:tableColumn id="11" name="时间"/>
    <x:tableColumn id="12" name="其他关键工艺"/>
    <x:tableColumn id="13" name="纯化"/>
    <x:tableColumn id="14" name="粒径(nm)"/>
    <x:tableColumn id="15" name="Zeta(mV)"/>
    <x:tableColumn id="16" name="荧光QY(%)"/>
    <x:tableColumn id="17" name="其他光化学指标"/>
    <x:tableColumn id="18" name="表面/结构特征"/>
    <x:tableColumn id="19" name="菌种"/>
    <x:tableColumn id="20" name="抗菌测试"/>
    <x:tableColumn id="21" name="抗菌结果"/>
    <x:tableColumn id="22" name="ROS/抗菌机制"/>
    <x:tableColumn id="23" name="最终应用"/>
    <x:tableColumn id="24" name="细胞相容性"/>
    <x:tableColumn id="25" name="推荐ML输入"/>
    <x:tableColumn id="26" name="推荐ML输出"/>
    <x:tableColumn id="27" name="数据完整度/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LVariablesTable" displayName="MLVariablesTable" ref="A5:H33" headerRowCount="1" totalsRowCount="0" totalsRowShown="0">
  <x:tableColumns count="8">
    <x:tableColumn id="1" name="类别"/>
    <x:tableColumn id="2" name="变量"/>
    <x:tableColumn id="3" name="数据类型"/>
    <x:tableColumn id="4" name="建议范围/水平"/>
    <x:tableColumn id="5" name="测量/记录方法"/>
    <x:tableColumn id="6" name="在模型中的作用"/>
    <x:tableColumn id="7" name="优先级"/>
    <x:tableColumn id="8" name="实施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ingTable" displayName="ReadingTable" ref="A3:E15" headerRowCount="1" totalsRowCount="0" totalsRowShown="0">
  <x:tableColumns count="5">
    <x:tableColumn id="1" name="顺序"/>
    <x:tableColumn id="2" name="文献ID"/>
    <x:tableColumn id="3" name="文献"/>
    <x:tableColumn id="4" name="阅读目的"/>
    <x:tableColumn id="5" name="建议用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978f7b29164f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b4f635e7d449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8f9a85e5124e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10b1e6fdd24e4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9" hidden="0" customWidth="1"/>
    <x:col min="4" max="4" width="8" hidden="0" customWidth="1"/>
    <x:col min="5" max="5" width="15" hidden="0" customWidth="1"/>
    <x:col min="6" max="6" width="42" hidden="0" customWidth="1"/>
    <x:col min="7" max="7" width="26" hidden="0" customWidth="1"/>
    <x:col min="8" max="8" width="24" hidden="0" customWidth="1"/>
    <x:col min="9" max="9" width="28" hidden="0" customWidth="1"/>
    <x:col min="10" max="10" width="32" hidden="0" customWidth="1"/>
    <x:col min="11" max="11" width="42" hidden="0" customWidth="1"/>
    <x:col min="12" max="12" width="16" hidden="0" customWidth="1"/>
    <x:col min="13" max="13" width="42" hidden="0" customWidth="1"/>
    <x:col min="14" max="14" width="36" hidden="0" customWidth="1"/>
  </x:cols>
  <x:sheetData>
    <x:row r="1">
      <x:c r="A1" s="5" t="str">
        <x:v>木质素基抗菌碳点文献数据库（检索截至 2026-09-21）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范围：A类=木质素作为碳点/碳量子点前驱体且实际评价抗菌/抗微生物性能；B类=机器学习建模关键的构效、合成优化与机理论文；C类=关键综述。“未从公开摘要/页面提取”不等于原文无数据，建议下载全文补齐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5">
      <x:c r="A5" s="22" t="str">
        <x:v>指标</x:v>
      </x:c>
      <x:c r="B5" s="22" t="str">
        <x:v>数量</x:v>
      </x:c>
      <x:c r="C5" s="22" t="str">
        <x:v>指标</x:v>
      </x:c>
      <x:c r="D5" s="22" t="str">
        <x:v>数量</x:v>
      </x:c>
      <x:c r="E5" s="22" t="str">
        <x:v>指标</x:v>
      </x:c>
      <x:c r="F5" s="22" t="str">
        <x:v>数量</x:v>
      </x:c>
      <x:c r="G5" s="22" t="str">
        <x:v>指标</x:v>
      </x:c>
      <x:c r="H5" s="22" t="str">
        <x:v>数量</x:v>
      </x:c>
    </x:row>
    <x:row r="6">
      <x:c r="A6" t="str">
        <x:v>文献总数</x:v>
      </x:c>
      <x:c r="B6" t="n">
        <x:f>COUNTA(A9:A200)</x:f>
        <x:v>20</x:v>
      </x:c>
      <x:c r="C6" t="str">
        <x:v>直接抗菌A类</x:v>
      </x:c>
      <x:c r="D6" t="n">
        <x:f>COUNTIF(B9:B200,"直接抗菌原始论文")</x:f>
        <x:v>9</x:v>
      </x:c>
      <x:c r="E6" t="str">
        <x:v>原始/构效B类</x:v>
      </x:c>
      <x:c r="F6" t="n">
        <x:f>COUNTIF(B9:B200,"构效/合成优化原始论文")+COUNTIF(B9:B200,"构效/机理原始论文")+COUNTIF(B9:B200,"基础合成原始论文")</x:f>
        <x:v>6</x:v>
      </x:c>
      <x:c r="G6" t="str">
        <x:v>综述C类</x:v>
      </x:c>
      <x:c r="H6" t="n">
        <x:f>COUNTIF(B9:B200,"综述")</x:f>
        <x:v>5</x:v>
      </x:c>
    </x:row>
    <x:row r="8">
      <x:c r="A8" s="30" t="str">
        <x:v>ID</x:v>
      </x:c>
      <x:c r="B8" s="30" t="str">
        <x:v>分类</x:v>
      </x:c>
      <x:c r="C8" s="30" t="str">
        <x:v>优先级</x:v>
      </x:c>
      <x:c r="D8" s="30" t="str">
        <x:v>年份</x:v>
      </x:c>
      <x:c r="E8" s="30" t="str">
        <x:v>第一作者</x:v>
      </x:c>
      <x:c r="F8" s="30" t="str">
        <x:v>题目</x:v>
      </x:c>
      <x:c r="G8" s="30" t="str">
        <x:v>期刊</x:v>
      </x:c>
      <x:c r="H8" s="30" t="str">
        <x:v>DOI</x:v>
      </x:c>
      <x:c r="I8" s="30" t="str">
        <x:v>木质素/体系</x:v>
      </x:c>
      <x:c r="J8" s="30" t="str">
        <x:v>抗菌相关性</x:v>
      </x:c>
      <x:c r="K8" s="30" t="str">
        <x:v>关键结果</x:v>
      </x:c>
      <x:c r="L8" s="30" t="str">
        <x:v>开放获取</x:v>
      </x:c>
      <x:c r="M8" s="30" t="str">
        <x:v>全文/下载入口</x:v>
      </x:c>
      <x:c r="N8" s="30" t="str">
        <x:v>导师备注</x:v>
      </x:c>
    </x:row>
    <x:row r="9">
      <x:c r="A9" s="31" t="str">
        <x:v>A01</x:v>
      </x:c>
      <x:c r="B9" s="31" t="str">
        <x:v>直接抗菌原始论文</x:v>
      </x:c>
      <x:c r="C9" s="31" t="str">
        <x:v>必读</x:v>
      </x:c>
      <x:c r="D9" s="31" t="n">
        <x:v>2026</x:v>
      </x:c>
      <x:c r="E9" s="31" t="str">
        <x:v>Wang J.</x:v>
      </x:c>
      <x:c r="F9" s="31" t="str">
        <x:v>Lignin-based carbon quantum dots with adjustable singlet oxygen production for antibacterial application</x:v>
      </x:c>
      <x:c r="G9" s="31" t="str">
        <x:v>Chemical Engineering Journal</x:v>
      </x:c>
      <x:c r="H9" s="31" t="str">
        <x:v>10.1016/j.cej.2026.175179</x:v>
      </x:c>
      <x:c r="I9" s="31" t="str">
        <x:v>碱木质素 + 乙二胺</x:v>
      </x:c>
      <x:c r="J9" s="31" t="str">
        <x:v>直接：光动力抗菌；E. coli / S. aureus；感染创面</x:v>
      </x:c>
      <x:c r="K9" s="31" t="str">
        <x:v>N掺杂调控¹O₂；最高¹O₂量子产率82.61%；水凝胶创面应用</x:v>
      </x:c>
      <x:c r="L9" s="31" t="str">
        <x:v>否/机构权限</x:v>
      </x:c>
      <x:c r="M9" s="31" t="str">
        <x:v>https://www.sciencedirect.com/science/article/pii/S1385894726026380</x:v>
      </x:c>
      <x:c r="N9" s="31" t="str">
        <x:v>最贴近“掺杂-结构-ROS-抗菌”主线；适合做ML对标</x:v>
      </x:c>
    </x:row>
    <x:row r="10">
      <x:c r="A10" s="31" t="str">
        <x:v>A02</x:v>
      </x:c>
      <x:c r="B10" s="31" t="str">
        <x:v>直接抗菌原始论文</x:v>
      </x:c>
      <x:c r="C10" s="31" t="str">
        <x:v>必读</x:v>
      </x:c>
      <x:c r="D10" s="31" t="n">
        <x:v>2024</x:v>
      </x:c>
      <x:c r="E10" s="31" t="str">
        <x:v>Pan Y.</x:v>
      </x:c>
      <x:c r="F10" s="31" t="str">
        <x:v>Self-adaptive carbon nanozyme regulation of ROS balance for bacteria-infected wound therapy</x:v>
      </x:c>
      <x:c r="G10" s="31" t="str">
        <x:v>Chemical Engineering Journal</x:v>
      </x:c>
      <x:c r="H10" s="31" t="str">
        <x:v>10.1016/j.cej.2024.155904</x:v>
      </x:c>
      <x:c r="I10" s="31" t="str">
        <x:v>碱木质素 + 有机酸（重点草酸体系）</x:v>
      </x:c>
      <x:c r="J10" s="31" t="str">
        <x:v>直接：耐药菌感染创面</x:v>
      </x:c>
      <x:c r="K10" s="31" t="str">
        <x:v>LCDs-OA具有POD/CAT双酶样活性；体外抗菌效率&gt;99.6%</x:v>
      </x:c>
      <x:c r="L10" s="31" t="str">
        <x:v>否/机构权限</x:v>
      </x:c>
      <x:c r="M10" s="31" t="str">
        <x:v>https://www.sciencedirect.com/science/article/abs/pii/S1385894724073959</x:v>
      </x:c>
      <x:c r="N10" s="31" t="str">
        <x:v>适合做“表面官能团-酶样活性-ROS-抗菌”构效关系</x:v>
      </x:c>
    </x:row>
    <x:row r="11">
      <x:c r="A11" s="31" t="str">
        <x:v>A03</x:v>
      </x:c>
      <x:c r="B11" s="31" t="str">
        <x:v>直接抗菌原始论文</x:v>
      </x:c>
      <x:c r="C11" s="31" t="str">
        <x:v>必读</x:v>
      </x:c>
      <x:c r="D11" s="31" t="n">
        <x:v>2026</x:v>
      </x:c>
      <x:c r="E11" s="31" t="str">
        <x:v>Faria M.</x:v>
      </x:c>
      <x:c r="F11" s="31" t="str">
        <x:v>Two-Step Non-Food Valorization of Phaleria macrocarpa Fruit Lignin into Lignin Nanoparticles and Quantum Dots for Antibacterial and Bioimaging Applications</x:v>
      </x:c>
      <x:c r="G11" s="31" t="str">
        <x:v>International Journal of Molecular Sciences</x:v>
      </x:c>
      <x:c r="H11" s="31" t="str">
        <x:v>10.3390/ijms27041945</x:v>
      </x:c>
      <x:c r="I11" s="31" t="str">
        <x:v>Phaleria macrocarpa果实木质素</x:v>
      </x:c>
      <x:c r="J11" s="31" t="str">
        <x:v>直接：S. aureus / K. pneumoniae</x:v>
      </x:c>
      <x:c r="K11" s="31" t="str">
        <x:v>LQDs约3–5 nm；24 h抑菌圈约22 mm和20 mm；L929细胞24 h存活率93.1±6.5%</x:v>
      </x:c>
      <x:c r="L11" s="31" t="str">
        <x:v>是</x:v>
      </x:c>
      <x:c r="M11" s="31" t="str">
        <x:v>https://www.mdpi.com/1422-0067/27/4/1945</x:v>
      </x:c>
      <x:c r="N11" s="31" t="str">
        <x:v>绿色水相、无催化剂两步法；新生入门价值高</x:v>
      </x:c>
    </x:row>
    <x:row r="12">
      <x:c r="A12" s="31" t="str">
        <x:v>A04</x:v>
      </x:c>
      <x:c r="B12" s="31" t="str">
        <x:v>直接抗菌原始论文</x:v>
      </x:c>
      <x:c r="C12" s="31" t="str">
        <x:v>必读</x:v>
      </x:c>
      <x:c r="D12" s="31" t="n">
        <x:v>2026</x:v>
      </x:c>
      <x:c r="E12" s="31" t="str">
        <x:v>Mohandoss S.</x:v>
      </x:c>
      <x:c r="F12" s="31" t="str">
        <x:v>Coconut husk lignin-derived and heteroatom-doped carbon dots as a dual emissive fluorescent probe for ultrasensitive detection of Hg2+ ions with antibacterial and bioimaging applications</x:v>
      </x:c>
      <x:c r="G12" s="31" t="str">
        <x:v>Diamond and Related Materials</x:v>
      </x:c>
      <x:c r="H12" s="31" t="str">
        <x:v>10.1016/j.diamond.2026.113555</x:v>
      </x:c>
      <x:c r="I12" s="31" t="str">
        <x:v>椰壳木质素 + 邻苯二胺</x:v>
      </x:c>
      <x:c r="J12" s="31" t="str">
        <x:v>直接：E. coli / S. aureus</x:v>
      </x:c>
      <x:c r="K12" s="31" t="str">
        <x:v>Lig-NCDs粒径3.87±0.12 nm；N/O富集表面；兼具Hg²⁺传感、抗菌和成像</x:v>
      </x:c>
      <x:c r="L12" s="31" t="str">
        <x:v>是（CC BY）</x:v>
      </x:c>
      <x:c r="M12" s="31" t="str">
        <x:v>https://www.sciencedirect.com/science/article/pii/S0925963526002669</x:v>
      </x:c>
      <x:c r="N12" s="31" t="str">
        <x:v>适合参考N掺杂与多功能应用</x:v>
      </x:c>
    </x:row>
    <x:row r="13">
      <x:c r="A13" s="31" t="str">
        <x:v>A05</x:v>
      </x:c>
      <x:c r="B13" s="31" t="str">
        <x:v>直接抗菌原始论文</x:v>
      </x:c>
      <x:c r="C13" s="31" t="str">
        <x:v>必读</x:v>
      </x:c>
      <x:c r="D13" s="31" t="n">
        <x:v>2024</x:v>
      </x:c>
      <x:c r="E13" s="31" t="str">
        <x:v>Yang L.</x:v>
      </x:c>
      <x:c r="F13" s="31" t="str">
        <x:v>Thin-Film Composite Polyamide Membranes Decorated with Photoactive Carbon Dots for Antimicrobial Applications</x:v>
      </x:c>
      <x:c r="G13" s="31" t="str">
        <x:v>ACS Applied Nano Materials</x:v>
      </x:c>
      <x:c r="H13" s="31" t="str">
        <x:v>10.1021/acsanm.3c05880</x:v>
      </x:c>
      <x:c r="I13" s="31" t="str">
        <x:v>象草叶木质素；H2O2辅助水热</x:v>
      </x:c>
      <x:c r="J13" s="31" t="str">
        <x:v>直接：E. coli / B. subtilis；光激活</x:v>
      </x:c>
      <x:c r="K13" s="31" t="str">
        <x:v>CD平均粒径10.7±1.9 nm；荧光QY 47.8%；UV下CD-500/CD-1000抗菌较强</x:v>
      </x:c>
      <x:c r="L13" s="31" t="str">
        <x:v>作者公开PDF</x:v>
      </x:c>
      <x:c r="M13" s="31" t="str">
        <x:v>https://carezende.github.io/home/stable/assets/publications/Yang_2024.pdf</x:v>
      </x:c>
      <x:c r="N13" s="31" t="str">
        <x:v>制备参数公开较完整；适合建立第一批结构化数据</x:v>
      </x:c>
    </x:row>
    <x:row r="14">
      <x:c r="A14" s="31" t="str">
        <x:v>A06</x:v>
      </x:c>
      <x:c r="B14" s="31" t="str">
        <x:v>直接抗菌原始论文</x:v>
      </x:c>
      <x:c r="C14" s="31" t="str">
        <x:v>重点</x:v>
      </x:c>
      <x:c r="D14" s="31" t="n">
        <x:v>2024</x:v>
      </x:c>
      <x:c r="E14" s="31" t="str">
        <x:v>Rossi P.F.</x:v>
      </x:c>
      <x:c r="F14" s="31" t="str">
        <x:v>3D-Printed Methacrylated Gelatin–Lignin Carbon Dot Hydrogel Combined with PLA Nanofibers for Wound Dressings</x:v>
      </x:c>
      <x:c r="G14" s="31" t="str">
        <x:v>ACS Applied Nano Materials</x:v>
      </x:c>
      <x:c r="H14" s="31" t="str">
        <x:v>10.1021/acsanm.4c03615</x:v>
      </x:c>
      <x:c r="I14" s="31" t="str">
        <x:v>木质素碳点 + 甲基丙烯酰化明胶/PLA</x:v>
      </x:c>
      <x:c r="J14" s="31" t="str">
        <x:v>直接：S. aureus / E. coli</x:v>
      </x:c>
      <x:c r="K14" s="31" t="str">
        <x:v>含LCDs的GMA膜可抑制接触细菌生长；无明显细胞毒性</x:v>
      </x:c>
      <x:c r="L14" s="31" t="str">
        <x:v>是（机构库）</x:v>
      </x:c>
      <x:c r="M14" s="31" t="str">
        <x:v>https://www.alice.cnptia.embrapa.br/alice/handle/doc/1170618</x:v>
      </x:c>
      <x:c r="N14" s="31" t="str">
        <x:v>适合“碳点→水凝胶/纤维”应用章节</x:v>
      </x:c>
    </x:row>
    <x:row r="15">
      <x:c r="A15" s="31" t="str">
        <x:v>A07</x:v>
      </x:c>
      <x:c r="B15" s="31" t="str">
        <x:v>直接抗菌原始论文</x:v>
      </x:c>
      <x:c r="C15" s="31" t="str">
        <x:v>重点</x:v>
      </x:c>
      <x:c r="D15" s="31" t="n">
        <x:v>2025</x:v>
      </x:c>
      <x:c r="E15" s="31" t="str">
        <x:v>Rossi P.F.</x:v>
      </x:c>
      <x:c r="F15" s="31" t="str">
        <x:v>Biobased composite fibrous membrane using PLA and lignin carbon dots fabricated via solution blow spinning for wound dressing application</x:v>
      </x:c>
      <x:c r="G15" s="31" t="str">
        <x:v>Materials Today Communications</x:v>
      </x:c>
      <x:c r="H15" s="31" t="str">
        <x:v>10.1016/j.mtcomm.2024.111418</x:v>
      </x:c>
      <x:c r="I15" s="31" t="str">
        <x:v>Kraft木质素；LCDots + 姜黄素 + PLA</x:v>
      </x:c>
      <x:c r="J15" s="31" t="str">
        <x:v>复合体系：S. aureus / P. aeruginosa</x:v>
      </x:c>
      <x:c r="K15" s="31" t="str">
        <x:v>2.5 wt%木质素水溶液180°C 5.5 h制LCDots；复合纤维具抗菌/生物相容性</x:v>
      </x:c>
      <x:c r="L15" s="31" t="str">
        <x:v>是（机构库PDF）</x:v>
      </x:c>
      <x:c r="M15" s="31" t="str">
        <x:v>https://www.alice.cnptia.embrapa.br/alice/bitstream/doc/1175299/1/P-Biobased-composite-fibrous-membrane-using-PLA-and-lignin-carbon-dots.pdf</x:v>
      </x:c>
      <x:c r="N15" s="31" t="str">
        <x:v>注意姜黄素也是抗菌组分，不能把效果全部归因于LCDots</x:v>
      </x:c>
    </x:row>
    <x:row r="16">
      <x:c r="A16" s="31" t="str">
        <x:v>A08</x:v>
      </x:c>
      <x:c r="B16" s="31" t="str">
        <x:v>直接抗菌原始论文</x:v>
      </x:c>
      <x:c r="C16" s="31" t="str">
        <x:v>重点</x:v>
      </x:c>
      <x:c r="D16" s="31" t="n">
        <x:v>2025</x:v>
      </x:c>
      <x:c r="E16" s="31" t="str">
        <x:v>Zheng Y.</x:v>
      </x:c>
      <x:c r="F16" s="31" t="str">
        <x:v>Development of Highly Transparent and Multifunctional Lignin-Derived Carbon Quantum Dots/PVA Composite Films for Active Food Packaging</x:v>
      </x:c>
      <x:c r="G16" s="31" t="str">
        <x:v>Polymer Engineering &amp; Science</x:v>
      </x:c>
      <x:c r="H16" s="31" t="str">
        <x:v>10.1002/pen.70108</x:v>
      </x:c>
      <x:c r="I16" s="31" t="str">
        <x:v>木质素LCQDs + PVA</x:v>
      </x:c>
      <x:c r="J16" s="31" t="str">
        <x:v>直接：S. aureus / E. coli</x:v>
      </x:c>
      <x:c r="K16" s="31" t="str">
        <x:v>复合膜抑菌率约89%（S. aureus）和100%（E. coli）；兼具UV屏蔽/抗氧化</x:v>
      </x:c>
      <x:c r="L16" s="31" t="str">
        <x:v>可在线全文/视权限</x:v>
      </x:c>
      <x:c r="M16" s="31" t="str">
        <x:v>https://4spepublications.onlinelibrary.wiley.com/doi/epdf/10.1002/pen.70108</x:v>
      </x:c>
      <x:c r="N16" s="31" t="str">
        <x:v>适合走抗菌包装/膜方向</x:v>
      </x:c>
    </x:row>
    <x:row r="17">
      <x:c r="A17" s="31" t="str">
        <x:v>A09</x:v>
      </x:c>
      <x:c r="B17" s="31" t="str">
        <x:v>直接抗菌原始论文</x:v>
      </x:c>
      <x:c r="C17" s="31" t="str">
        <x:v>重点</x:v>
      </x:c>
      <x:c r="D17" s="31" t="n">
        <x:v>2024</x:v>
      </x:c>
      <x:c r="E17" s="31" t="str">
        <x:v>Sangeetha U.K.</x:v>
      </x:c>
      <x:c r="F17" s="31" t="str">
        <x:v>Coconut husk-lignin derived carbon dots incorporated carrageenan based functional film for intelligent food packaging</x:v>
      </x:c>
      <x:c r="G17" s="31" t="str">
        <x:v>International Journal of Biological Macromolecules</x:v>
      </x:c>
      <x:c r="H17" s="31" t="str">
        <x:v>10.1016/j.ijbiomac.2024.131005</x:v>
      </x:c>
      <x:c r="I17" s="31" t="str">
        <x:v>椰壳提取碱木质素→胺化木质素→CDs</x:v>
      </x:c>
      <x:c r="J17" s="31" t="str">
        <x:v>直接：E. coli / S. aureus</x:v>
      </x:c>
      <x:c r="K17" s="31" t="str">
        <x:v>1/2/3 wt% CDs加入卡拉胶；2 wt%综合性能较优；具抗菌、抗氧化和pH响应</x:v>
      </x:c>
      <x:c r="L17" s="31" t="str">
        <x:v>否/机构权限</x:v>
      </x:c>
      <x:c r="M17" s="31" t="str">
        <x:v>https://www.sciencedirect.com/science/article/pii/S0141813024018105</x:v>
      </x:c>
      <x:c r="N17" s="31" t="str">
        <x:v>与“智能抗菌包装”结合紧密</x:v>
      </x:c>
    </x:row>
    <x:row r="18">
      <x:c r="A18" s="31" t="str">
        <x:v>B01</x:v>
      </x:c>
      <x:c r="B18" s="31" t="str">
        <x:v>构效/合成优化原始论文</x:v>
      </x:c>
      <x:c r="C18" s="31" t="str">
        <x:v>必读</x:v>
      </x:c>
      <x:c r="D18" s="31" t="n">
        <x:v>2025</x:v>
      </x:c>
      <x:c r="E18" s="31" t="str">
        <x:v>Aparício R.R.</x:v>
      </x:c>
      <x:c r="F18" s="31" t="str">
        <x:v>Techno-economic analysis and optimization of ethylenediamine-doped carbon dots production from kraft lignin via hydrothermal process</x:v>
      </x:c>
      <x:c r="G18" s="31" t="str">
        <x:v>International Journal of Biological Macromolecules</x:v>
      </x:c>
      <x:c r="H18" s="31" t="str">
        <x:v>10.1016/j.ijbiomac.2025.147132</x:v>
      </x:c>
      <x:c r="I18" s="31" t="str">
        <x:v>Kraft木质素 + 乙二胺</x:v>
      </x:c>
      <x:c r="J18" s="31" t="str">
        <x:v>非抗菌；直接服务ML/DOE设计</x:v>
      </x:c>
      <x:c r="K18" s="31" t="str">
        <x:v>30组CCD/RSM；温度、EDA体积、木质素质量显著；EDA使QY 2.7%→11.3%，产率约5倍</x:v>
      </x:c>
      <x:c r="L18" s="31" t="str">
        <x:v>否/机构权限</x:v>
      </x:c>
      <x:c r="M18" s="31" t="str">
        <x:v>https://www.sciencedirect.com/science/article/pii/S0141813025076895</x:v>
      </x:c>
      <x:c r="N18" s="31" t="str">
        <x:v>最适合拿来设计“RSM→RF/XGBoost/BO”的硕士课题</x:v>
      </x:c>
    </x:row>
    <x:row r="19">
      <x:c r="A19" s="31" t="str">
        <x:v>B02</x:v>
      </x:c>
      <x:c r="B19" s="31" t="str">
        <x:v>构效/机理原始论文</x:v>
      </x:c>
      <x:c r="C19" s="31" t="str">
        <x:v>必读</x:v>
      </x:c>
      <x:c r="D19" s="31" t="n">
        <x:v>2024</x:v>
      </x:c>
      <x:c r="E19" s="31" t="str">
        <x:v>Liu X.</x:v>
      </x:c>
      <x:c r="F19" s="31" t="str">
        <x:v>The effect of lignin molecular weight on the formation and properties of carbon quantum dots</x:v>
      </x:c>
      <x:c r="G19" s="31" t="str">
        <x:v>Green Chemistry</x:v>
      </x:c>
      <x:c r="H19" s="31" t="str">
        <x:v>10.1039/D3GC04694J</x:v>
      </x:c>
      <x:c r="I19" s="31" t="str">
        <x:v>分级碱木质素（约7100–2000 g/mol）</x:v>
      </x:c>
      <x:c r="J19" s="31" t="str">
        <x:v>非抗菌；原料特征变量关键</x:v>
      </x:c>
      <x:c r="K19" s="31" t="str">
        <x:v>Mw≈5042 g/mol组荧光强度约为原始碱木质素组1.86倍；解释小分子前驱体作用</x:v>
      </x:c>
      <x:c r="L19" s="31" t="str">
        <x:v>可在线全文</x:v>
      </x:c>
      <x:c r="M19" s="31" t="str">
        <x:v>https://pubs.rsc.org/en/content/articlehtml/2024/gc/d3gc04694j</x:v>
      </x:c>
      <x:c r="N19" s="31" t="str">
        <x:v>提示ML输入应加入Mw、PDI、酚羟基等原料变量</x:v>
      </x:c>
    </x:row>
    <x:row r="20">
      <x:c r="A20" s="31" t="str">
        <x:v>B03</x:v>
      </x:c>
      <x:c r="B20" s="31" t="str">
        <x:v>构效/机理原始论文</x:v>
      </x:c>
      <x:c r="C20" s="31" t="str">
        <x:v>必读</x:v>
      </x:c>
      <x:c r="D20" s="31" t="n">
        <x:v>2024</x:v>
      </x:c>
      <x:c r="E20" s="31" t="str">
        <x:v>Zhu L.</x:v>
      </x:c>
      <x:c r="F20" s="31" t="str">
        <x:v>Formation mechanism of lignin-derived carbon quantum dots: From chemical structures to fluorescent behaviors</x:v>
      </x:c>
      <x:c r="G20" s="31" t="str">
        <x:v>Bioresource Technology</x:v>
      </x:c>
      <x:c r="H20" s="31" t="str">
        <x:v>10.1016/j.biortech.2024.131490</x:v>
      </x:c>
      <x:c r="I20" s="31" t="str">
        <x:v>木质素；低温液相解聚+水热两步法</x:v>
      </x:c>
      <x:c r="J20" s="31" t="str">
        <x:v>非抗菌；形成机理</x:v>
      </x:c>
      <x:c r="K20" s="31" t="str">
        <x:v>关键前驱组分C1所得CQDs QY 19.5%、产率16.5%；解析解聚-缩合-交联-碳化路径</x:v>
      </x:c>
      <x:c r="L20" s="31" t="str">
        <x:v>否/机构权限</x:v>
      </x:c>
      <x:c r="M20" s="31" t="str">
        <x:v>https://www.sciencedirect.com/science/article/pii/S0960852424011945</x:v>
      </x:c>
      <x:c r="N20" s="31" t="str">
        <x:v>用于解释模型特征重要性，而非只做黑箱预测</x:v>
      </x:c>
    </x:row>
    <x:row r="21">
      <x:c r="A21" s="31" t="str">
        <x:v>B04</x:v>
      </x:c>
      <x:c r="B21" s="31" t="str">
        <x:v>构效/合成优化原始论文</x:v>
      </x:c>
      <x:c r="C21" s="31" t="str">
        <x:v>重点</x:v>
      </x:c>
      <x:c r="D21" s="31" t="n">
        <x:v>2024</x:v>
      </x:c>
      <x:c r="E21" s="31" t="str">
        <x:v>Wang et al.</x:v>
      </x:c>
      <x:c r="F21" s="31" t="str">
        <x:v>Study of the effect of nitric acid on the structure and optical properties of alkali lignin-based carbon dots</x:v>
      </x:c>
      <x:c r="G21" s="31" t="str">
        <x:v>Carbon Capture Science &amp; Technology</x:v>
      </x:c>
      <x:c r="H21" s="31" t="str">
        <x:v>10.1016/j.ccst.2024.100218</x:v>
      </x:c>
      <x:c r="I21" s="31" t="str">
        <x:v>碱木质素 + HNO3</x:v>
      </x:c>
      <x:c r="J21" s="31" t="str">
        <x:v>非抗菌；酸添加量-结构-光学性质</x:v>
      </x:c>
      <x:c r="K21" s="31" t="str">
        <x:v>1–5 nm；HNO3增加石墨化/N掺杂；QY由2.61%升至10.17%</x:v>
      </x:c>
      <x:c r="L21" s="31" t="str">
        <x:v>是（OA）</x:v>
      </x:c>
      <x:c r="M21" s="31" t="str">
        <x:v>https://www.sciencedirect.com/science/article/pii/S2772656824000307</x:v>
      </x:c>
      <x:c r="N21" s="31" t="str">
        <x:v>适合把酸种类/剂量作为ML输入</x:v>
      </x:c>
    </x:row>
    <x:row r="22">
      <x:c r="A22" s="31" t="str">
        <x:v>B05</x:v>
      </x:c>
      <x:c r="B22" s="31" t="str">
        <x:v>基础合成原始论文</x:v>
      </x:c>
      <x:c r="C22" s="31" t="str">
        <x:v>参考</x:v>
      </x:c>
      <x:c r="D22" s="31" t="n">
        <x:v>2018</x:v>
      </x:c>
      <x:c r="E22" s="31" t="str">
        <x:v>Myint A.A.</x:v>
      </x:c>
      <x:c r="F22" s="31" t="str">
        <x:v>Water-soluble, lignin-derived carbon dots with high fluorescent emissions and their applications in bioimaging</x:v>
      </x:c>
      <x:c r="G22" s="31" t="str">
        <x:v>Journal of Industrial and Engineering Chemistry</x:v>
      </x:c>
      <x:c r="H22" s="31" t="str">
        <x:v>10.1016/j.jiec.2018.06.005</x:v>
      </x:c>
      <x:c r="I22" s="31" t="str">
        <x:v>Kraft木质素；碳化+H2SO4/HNO3氧化</x:v>
      </x:c>
      <x:c r="J22" s="31" t="str">
        <x:v>非抗菌；早期代表性合成</x:v>
      </x:c>
      <x:c r="K22" s="31" t="str">
        <x:v>90°C酸氧化8/16/24 h；24 h样品QY约13%；水溶性和生物成像</x:v>
      </x:c>
      <x:c r="L22" s="31" t="str">
        <x:v>否/机构权限</x:v>
      </x:c>
      <x:c r="M22" s="31" t="str">
        <x:v>https://www.sciencedirect.com/science/article/pii/S1226086X18302958</x:v>
      </x:c>
      <x:c r="N22" s="31" t="str">
        <x:v>作为历史基线</x:v>
      </x:c>
    </x:row>
    <x:row r="23">
      <x:c r="A23" s="31" t="str">
        <x:v>B06</x:v>
      </x:c>
      <x:c r="B23" s="31" t="str">
        <x:v>构效/合成优化原始论文</x:v>
      </x:c>
      <x:c r="C23" s="31" t="str">
        <x:v>参考</x:v>
      </x:c>
      <x:c r="D23" s="31" t="n">
        <x:v>2026</x:v>
      </x:c>
      <x:c r="E23" s="31" t="str">
        <x:v>Ren H.</x:v>
      </x:c>
      <x:c r="F23" s="31" t="str">
        <x:v>Lignin carbon dots: Synthesis from alkali lignin, sensing mechanism for Fe3+, performance evaluation, and azo dye composite test paper for dual-mode detection</x:v>
      </x:c>
      <x:c r="G23" s="31" t="str">
        <x:v>Biomass and Bioenergy</x:v>
      </x:c>
      <x:c r="H23" s="31" t="str">
        <x:v>10.1016/j.biombioe.2026.109293</x:v>
      </x:c>
      <x:c r="I23" s="31" t="str">
        <x:v>造纸黑液碱木质素</x:v>
      </x:c>
      <x:c r="J23" s="31" t="str">
        <x:v>非抗菌；合成优化/表征</x:v>
      </x:c>
      <x:c r="K23" s="31" t="str">
        <x:v>两步水热；约2.9 nm；用于Fe3+双模检测</x:v>
      </x:c>
      <x:c r="L23" s="31" t="str">
        <x:v>否/机构权限</x:v>
      </x:c>
      <x:c r="M23" s="31" t="str">
        <x:v>https://www.sciencedirect.com/science/article/pii/S0961953426003685</x:v>
      </x:c>
      <x:c r="N23" s="31" t="str">
        <x:v>可补充合成参数—粒径—荧光数据库</x:v>
      </x:c>
    </x:row>
    <x:row r="24">
      <x:c r="A24" s="31" t="str">
        <x:v>C01</x:v>
      </x:c>
      <x:c r="B24" s="31" t="str">
        <x:v>综述</x:v>
      </x:c>
      <x:c r="C24" s="31" t="str">
        <x:v>必读</x:v>
      </x:c>
      <x:c r="D24" s="31" t="n">
        <x:v>2026</x:v>
      </x:c>
      <x:c r="E24" s="31" t="str">
        <x:v>Sareen S.</x:v>
      </x:c>
      <x:c r="F24" s="31" t="str">
        <x:v>A roadmap of lignin-derived carbon dots: A systematic review of synthesis parameters to obtain desired optical properties</x:v>
      </x:c>
      <x:c r="G24" s="31" t="str">
        <x:v>Materials Today Sustainability</x:v>
      </x:c>
      <x:c r="H24" s="31" t="str">
        <x:v>10.1016/j.mtsust.2026.101406</x:v>
      </x:c>
      <x:c r="I24" s="31" t="str">
        <x:v>系统综述</x:v>
      </x:c>
      <x:c r="J24" s="31" t="str">
        <x:v>综述；ML数据抽取入口</x:v>
      </x:c>
      <x:c r="K24" s="31" t="str">
        <x:v>系统梳理木质素来源、制备参数与光学性质；适合作为二次数据源索引</x:v>
      </x:c>
      <x:c r="L24" s="31" t="str">
        <x:v>是（OA）</x:v>
      </x:c>
      <x:c r="M24" s="31" t="str">
        <x:v>https://www.sciencedirect.com/science/article/pii/S2589234726001077</x:v>
      </x:c>
      <x:c r="N24" s="31" t="str">
        <x:v>建议从其参考文献进一步扩充历史数据</x:v>
      </x:c>
    </x:row>
    <x:row r="25">
      <x:c r="A25" s="31" t="str">
        <x:v>C02</x:v>
      </x:c>
      <x:c r="B25" s="31" t="str">
        <x:v>综述</x:v>
      </x:c>
      <x:c r="C25" s="31" t="str">
        <x:v>必读</x:v>
      </x:c>
      <x:c r="D25" s="31" t="n">
        <x:v>2025</x:v>
      </x:c>
      <x:c r="E25" s="31" t="str">
        <x:v>Yin X.</x:v>
      </x:c>
      <x:c r="F25" s="31" t="str">
        <x:v>Applications of Lignin-Dervied Carbon Quantum Dots: Current Status and Challenges</x:v>
      </x:c>
      <x:c r="G25" s="31" t="str">
        <x:v>Exploration</x:v>
      </x:c>
      <x:c r="H25" s="31" t="str">
        <x:v>10.1002/EXP.70039</x:v>
      </x:c>
      <x:c r="I25" s="31" t="str">
        <x:v>综述</x:v>
      </x:c>
      <x:c r="J25" s="31" t="str">
        <x:v>明确覆盖抗菌剂开发</x:v>
      </x:c>
      <x:c r="K25" s="31" t="str">
        <x:v>系统介绍LCQDs制备与传感、生物成像、药物递送、抗菌等应用</x:v>
      </x:c>
      <x:c r="L25" s="31" t="str">
        <x:v>是</x:v>
      </x:c>
      <x:c r="M25" s="31" t="str">
        <x:v>https://pmc.ncbi.nlm.nih.gov/articles/PMC12199341/</x:v>
      </x:c>
      <x:c r="N25" s="31" t="str">
        <x:v>开题“国内外研究现状”核心综述</x:v>
      </x:c>
    </x:row>
    <x:row r="26">
      <x:c r="A26" s="31" t="str">
        <x:v>C03</x:v>
      </x:c>
      <x:c r="B26" s="31" t="str">
        <x:v>综述</x:v>
      </x:c>
      <x:c r="C26" s="31" t="str">
        <x:v>重点</x:v>
      </x:c>
      <x:c r="D26" s="31" t="n">
        <x:v>2025</x:v>
      </x:c>
      <x:c r="E26" s="31" t="str">
        <x:v>Aparício R.R.</x:v>
      </x:c>
      <x:c r="F26" s="31" t="str">
        <x:v>Lignin as a Renewable Precursor for Carbon Quantum Dots: Synthesis, Doping Strategies, and Applications</x:v>
      </x:c>
      <x:c r="G26" s="31" t="str">
        <x:v>Advanced Energy and Sustainability Research</x:v>
      </x:c>
      <x:c r="H26" s="31" t="str">
        <x:v>10.1002/aesr.202500187</x:v>
      </x:c>
      <x:c r="I26" s="31" t="str">
        <x:v>综述</x:v>
      </x:c>
      <x:c r="J26" s="31" t="str">
        <x:v>掺杂策略/性质调控</x:v>
      </x:c>
      <x:c r="K26" s="31" t="str">
        <x:v>总结水热/溶剂热和N/S掺杂；指出高掺杂浓度常对应更高QY</x:v>
      </x:c>
      <x:c r="L26" s="31" t="str">
        <x:v>是</x:v>
      </x:c>
      <x:c r="M26" s="31" t="str">
        <x:v>https://advanced.onlinelibrary.wiley.com/doi/10.1002/aesr.202500187</x:v>
      </x:c>
      <x:c r="N26" s="31" t="str">
        <x:v>适合确定掺杂变量</x:v>
      </x:c>
    </x:row>
    <x:row r="27">
      <x:c r="A27" s="31" t="str">
        <x:v>C04</x:v>
      </x:c>
      <x:c r="B27" s="31" t="str">
        <x:v>综述</x:v>
      </x:c>
      <x:c r="C27" s="31" t="str">
        <x:v>重点</x:v>
      </x:c>
      <x:c r="D27" s="31" t="n">
        <x:v>2024</x:v>
      </x:c>
      <x:c r="E27" s="31" t="str">
        <x:v>Wang R.</x:v>
      </x:c>
      <x:c r="F27" s="31" t="str">
        <x:v>State-of-the-art of lignin-derived carbon nanodots: Preparation, properties, and applications</x:v>
      </x:c>
      <x:c r="G27" s="31" t="str">
        <x:v>International Journal of Biological Macromolecules</x:v>
      </x:c>
      <x:c r="H27" s="31" t="str">
        <x:v>10.1016/j.ijbiomac.2024.132897</x:v>
      </x:c>
      <x:c r="I27" s="31" t="str">
        <x:v>综述</x:v>
      </x:c>
      <x:c r="J27" s="31" t="str">
        <x:v>制备-性质-应用全景</x:v>
      </x:c>
      <x:c r="K27" s="31" t="str">
        <x:v>总结LCNs制备、性质、应用、局限和产业化挑战</x:v>
      </x:c>
      <x:c r="L27" s="31" t="str">
        <x:v>否/机构权限</x:v>
      </x:c>
      <x:c r="M27" s="31" t="str">
        <x:v>https://www.sciencedirect.com/science/article/pii/S0141813024037024</x:v>
      </x:c>
      <x:c r="N27" s="31" t="str">
        <x:v>补充研究现状</x:v>
      </x:c>
    </x:row>
    <x:row r="28">
      <x:c r="A28" s="31" t="str">
        <x:v>C05</x:v>
      </x:c>
      <x:c r="B28" s="31" t="str">
        <x:v>综述</x:v>
      </x:c>
      <x:c r="C28" s="31" t="str">
        <x:v>参考</x:v>
      </x:c>
      <x:c r="D28" s="31" t="n">
        <x:v>2022</x:v>
      </x:c>
      <x:c r="E28" s="31" t="str">
        <x:v>Zhang T.</x:v>
      </x:c>
      <x:c r="F28" s="31" t="str">
        <x:v>Review of Carbon Dots from Lignin: Preparing, Tuning, and Applying</x:v>
      </x:c>
      <x:c r="G28" s="31" t="str">
        <x:v>Paper and Biomaterials</x:v>
      </x:c>
      <x:c r="H28" s="31" t="str">
        <x:v>10.1213/j.issn.2096-2355.2022.03.006</x:v>
      </x:c>
      <x:c r="I28" s="31" t="str">
        <x:v>综述</x:v>
      </x:c>
      <x:c r="J28" s="31" t="str">
        <x:v>早期系统综述</x:v>
      </x:c>
      <x:c r="K28" s="31" t="str">
        <x:v>总结木质素CD制备、调光与传感/成像/储能等应用</x:v>
      </x:c>
      <x:c r="L28" s="31" t="str">
        <x:v>是</x:v>
      </x:c>
      <x:c r="M28" s="31" t="str">
        <x:v>https://www.sciopen.com/article/10.1213/j.issn.2096-2355.2022.03.006</x:v>
      </x:c>
      <x:c r="N28" s="31" t="str">
        <x:v>适合化学基础薄弱学生先读</x:v>
      </x:c>
    </x:row>
  </x:sheetData>
  <x:mergeCells>
    <x:mergeCell ref="A1:N1"/>
    <x:mergeCell ref="A2:N3"/>
  </x:mergeCells>
  <x:conditionalFormatting sqref="C9:C28">
    <x:cfRule type="expression" dxfId="0" priority="1">
      <x:formula>C9="必读"</x:formula>
    </x:cfRule>
    <x:cfRule type="expression" dxfId="1" priority="2">
      <x:formula>C9="重点"</x:formula>
    </x:cfRule>
  </x:conditionalFormatting>
  <x:conditionalFormatting sqref="B9:B28">
    <x:cfRule type="expression" dxfId="2" priority="3">
      <x:formula>LEFT(B9,2)="直接"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978f7b29164f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10" max="10" width="15" hidden="0" customWidth="1"/>
    <x:col min="11" max="11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2" max="12" width="27" hidden="0" customWidth="1"/>
    <x:col min="13" max="13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34" hidden="0" customWidth="1"/>
    <x:col min="26" max="26" width="34" hidden="0" customWidth="1"/>
    <x:col min="27" max="27" width="30" hidden="0" customWidth="1"/>
  </x:cols>
  <x:sheetData>
    <x:row r="1">
      <x:c r="A1" s="5" t="str">
        <x:v>原始论文实验参数与抗菌性能结构化提取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>
      <x:c r="A2" s="13" t="str">
        <x:v>建议后续把每篇论文的不同合成条件拆成“一行一个样品/条件”。这张表已经把可从公开页面可靠提取的条件填入，并明确标记缺失字段，避免把推测值混入机器学习数据。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</x:row>
    <x:row r="5">
      <x:c r="A5" s="30" t="str">
        <x:v>文献ID</x:v>
      </x:c>
      <x:c r="B5" s="30" t="str">
        <x:v>年份</x:v>
      </x:c>
      <x:c r="C5" s="30" t="str">
        <x:v>文章简称</x:v>
      </x:c>
      <x:c r="D5" s="30" t="str">
        <x:v>木质素来源</x:v>
      </x:c>
      <x:c r="E5" s="30" t="str">
        <x:v>前处理/木质素特征</x:v>
      </x:c>
      <x:c r="F5" s="30" t="str">
        <x:v>CD制备方法</x:v>
      </x:c>
      <x:c r="G5" s="30" t="str">
        <x:v>溶剂/介质</x:v>
      </x:c>
      <x:c r="H5" s="30" t="str">
        <x:v>木质素投料/浓度</x:v>
      </x:c>
      <x:c r="I5" s="30" t="str">
        <x:v>掺杂剂/添加剂</x:v>
      </x:c>
      <x:c r="J5" s="30" t="str">
        <x:v>温度(°C)</x:v>
      </x:c>
      <x:c r="K5" s="30" t="str">
        <x:v>时间</x:v>
      </x:c>
      <x:c r="L5" s="30" t="str">
        <x:v>其他关键工艺</x:v>
      </x:c>
      <x:c r="M5" s="30" t="str">
        <x:v>纯化</x:v>
      </x:c>
      <x:c r="N5" s="30" t="str">
        <x:v>粒径(nm)</x:v>
      </x:c>
      <x:c r="O5" s="30" t="str">
        <x:v>Zeta(mV)</x:v>
      </x:c>
      <x:c r="P5" s="30" t="str">
        <x:v>荧光QY(%)</x:v>
      </x:c>
      <x:c r="Q5" s="30" t="str">
        <x:v>其他光化学指标</x:v>
      </x:c>
      <x:c r="R5" s="30" t="str">
        <x:v>表面/结构特征</x:v>
      </x:c>
      <x:c r="S5" s="30" t="str">
        <x:v>菌种</x:v>
      </x:c>
      <x:c r="T5" s="30" t="str">
        <x:v>抗菌测试</x:v>
      </x:c>
      <x:c r="U5" s="30" t="str">
        <x:v>抗菌结果</x:v>
      </x:c>
      <x:c r="V5" s="30" t="str">
        <x:v>ROS/抗菌机制</x:v>
      </x:c>
      <x:c r="W5" s="30" t="str">
        <x:v>最终应用</x:v>
      </x:c>
      <x:c r="X5" s="30" t="str">
        <x:v>细胞相容性</x:v>
      </x:c>
      <x:c r="Y5" s="30" t="str">
        <x:v>推荐ML输入</x:v>
      </x:c>
      <x:c r="Z5" s="30" t="str">
        <x:v>推荐ML输出</x:v>
      </x:c>
      <x:c r="AA5" s="30" t="str">
        <x:v>数据完整度/备注</x:v>
      </x:c>
    </x:row>
    <x:row r="6">
      <x:c r="A6" s="31" t="str">
        <x:v>A01</x:v>
      </x:c>
      <x:c r="B6" s="31" t="n">
        <x:v>2026</x:v>
      </x:c>
      <x:c r="C6" s="31" t="str">
        <x:v>N,L-CQDs光动力抗菌</x:v>
      </x:c>
      <x:c r="D6" s="31" t="str">
        <x:v>碱木质素</x:v>
      </x:c>
      <x:c r="E6" s="31" t="str">
        <x:v>公开摘要未给Mw/PDI</x:v>
      </x:c>
      <x:c r="F6" s="31" t="str">
        <x:v>一锅水热</x:v>
      </x:c>
      <x:c r="G6" s="31" t="str">
        <x:v>水系</x:v>
      </x:c>
      <x:c r="H6" s="31" t="str">
        <x:v>未从公开摘要提取</x:v>
      </x:c>
      <x:c r="I6" s="31" t="str">
        <x:v>乙二胺；设置不同掺杂水平</x:v>
      </x:c>
      <x:c r="J6" s="31" t="str">
        <x:v>未从公开摘要提取</x:v>
      </x:c>
      <x:c r="K6" s="31" t="str">
        <x:v>未从公开摘要提取</x:v>
      </x:c>
      <x:c r="L6" s="31" t="str">
        <x:v>调节EDA含量得到N,L-CQDs1–4</x:v>
      </x:c>
      <x:c r="M6" s="31" t="str">
        <x:v>未从公开摘要提取</x:v>
      </x:c>
      <x:c r="N6" s="31" t="str">
        <x:v>未从公开摘要提取</x:v>
      </x:c>
      <x:c r="O6" s="31" t="str">
        <x:v>未从公开摘要提取</x:v>
      </x:c>
      <x:c r="P6" s="31" t="str">
        <x:v>未从公开摘要提取</x:v>
      </x:c>
      <x:c r="Q6" s="31" t="str">
        <x:v>¹O₂ QY最高82.61%；ΔEST=0.27 eV</x:v>
      </x:c>
      <x:c r="R6" s="31" t="str">
        <x:v>N掺杂提高石墨化、改变表面态/带隙内发光中心</x:v>
      </x:c>
      <x:c r="S6" s="31" t="str">
        <x:v>E. coli；S. aureus</x:v>
      </x:c>
      <x:c r="T6" s="31" t="str">
        <x:v>光照杀菌；膜完整性/形貌等</x:v>
      </x:c>
      <x:c r="U6" s="31" t="str">
        <x:v>强光激活杀菌（公开摘要未给具体百分比）</x:v>
      </x:c>
      <x:c r="V6" s="31" t="str">
        <x:v>¹O₂介导氧化损伤</x:v>
      </x:c>
      <x:c r="W6" s="31" t="str">
        <x:v>感染创面水凝胶贴片</x:v>
      </x:c>
      <x:c r="X6" s="31" t="str">
        <x:v>动物创面模型显示促进愈合</x:v>
      </x:c>
      <x:c r="Y6" s="31" t="str">
        <x:v>EDA/木质素比、N含量、温度、时间、pH</x:v>
      </x:c>
      <x:c r="Z6" s="31" t="str">
        <x:v>¹O₂ QY、ROS、杀菌率、MIC/MBC</x:v>
      </x:c>
      <x:c r="AA6" s="31" t="str">
        <x:v>中；需全文补齐合成温度/剂量</x:v>
      </x:c>
    </x:row>
    <x:row r="7">
      <x:c r="A7" s="31" t="str">
        <x:v>A02</x:v>
      </x:c>
      <x:c r="B7" s="31" t="n">
        <x:v>2024</x:v>
      </x:c>
      <x:c r="C7" s="31" t="str">
        <x:v>LCDs-OA双酶样纳米酶</x:v>
      </x:c>
      <x:c r="D7" s="31" t="str">
        <x:v>碱木质素</x:v>
      </x:c>
      <x:c r="E7" s="31" t="str">
        <x:v>基础LCD直接水热；再比较有机酸处理</x:v>
      </x:c>
      <x:c r="F7" s="31" t="str">
        <x:v>一锅水热/有机酸共处理</x:v>
      </x:c>
      <x:c r="G7" s="31" t="str">
        <x:v>水</x:v>
      </x:c>
      <x:c r="H7" s="31" t="str">
        <x:v>基础LCD公开片段：20 mL水；木质素质量需全文</x:v>
      </x:c>
      <x:c r="I7" s="31" t="str">
        <x:v>有机酸；重点草酸</x:v>
      </x:c>
      <x:c r="J7" s="31" t="str">
        <x:v>180</x:v>
      </x:c>
      <x:c r="K7" s="31" t="str">
        <x:v>12 h</x:v>
      </x:c>
      <x:c r="L7" s="31" t="str">
        <x:v>搅拌30 min；不同有机酸体系比较</x:v>
      </x:c>
      <x:c r="M7" s="31" t="str">
        <x:v>0.22 μm过滤；MWCO 2000 Da透析2 d</x:v>
      </x:c>
      <x:c r="N7" s="31" t="str">
        <x:v>未从公开摘要提取</x:v>
      </x:c>
      <x:c r="O7" s="31" t="str">
        <x:v>未从公开摘要提取</x:v>
      </x:c>
      <x:c r="P7" s="31" t="str">
        <x:v>未从公开摘要提取</x:v>
      </x:c>
      <x:c r="Q7" s="31" t="str">
        <x:v>POD-like / CAT-like活性</x:v>
      </x:c>
      <x:c r="R7" s="31" t="str">
        <x:v>草酸提高C=O和COOH表面位点</x:v>
      </x:c>
      <x:c r="S7" s="31" t="str">
        <x:v>耐药菌（具体菌株需全文）</x:v>
      </x:c>
      <x:c r="T7" s="31" t="str">
        <x:v>体外抗菌+感染创面</x:v>
      </x:c>
      <x:c r="U7" s="31" t="str">
        <x:v>体外抗菌效率&gt;99.6%</x:v>
      </x:c>
      <x:c r="V7" s="31" t="str">
        <x:v>酸性POD样产•OH杀菌；较高pH CAT样清除H2O2</x:v>
      </x:c>
      <x:c r="W7" s="31" t="str">
        <x:v>感染创面；LCDs-OA@CaO2</x:v>
      </x:c>
      <x:c r="X7" s="31" t="str">
        <x:v>高生物相容性（摘要）</x:v>
      </x:c>
      <x:c r="Y7" s="31" t="str">
        <x:v>有机酸类型/剂量、C=O/COOH比例、pH、CaO2比例</x:v>
      </x:c>
      <x:c r="Z7" s="31" t="str">
        <x:v>POD/CAT活性、ROS、杀菌率</x:v>
      </x:c>
      <x:c r="AA7" s="31" t="str">
        <x:v>较高；公开页面已有核心工艺</x:v>
      </x:c>
    </x:row>
    <x:row r="8">
      <x:c r="A8" s="31" t="str">
        <x:v>A03</x:v>
      </x:c>
      <x:c r="B8" s="31" t="n">
        <x:v>2026</x:v>
      </x:c>
      <x:c r="C8" s="31" t="str">
        <x:v>Phaleria macrocarpa LQDs</x:v>
      </x:c>
      <x:c r="D8" s="31" t="str">
        <x:v>P. macrocarpa果实木质素</x:v>
      </x:c>
      <x:c r="E8" s="31" t="str">
        <x:v>木质素→LNPs→LQDs</x:v>
      </x:c>
      <x:c r="F8" s="31" t="str">
        <x:v>水相两步法；无催化剂</x:v>
      </x:c>
      <x:c r="G8" s="31" t="str">
        <x:v>水</x:v>
      </x:c>
      <x:c r="H8" s="31" t="str">
        <x:v>未从公开摘要提取</x:v>
      </x:c>
      <x:c r="I8" s="31" t="str">
        <x:v>无外加催化剂</x:v>
      </x:c>
      <x:c r="J8" s="31" t="str">
        <x:v>未从公开摘要提取</x:v>
      </x:c>
      <x:c r="K8" s="31" t="str">
        <x:v>未从公开摘要提取</x:v>
      </x:c>
      <x:c r="L8" s="31" t="str">
        <x:v>绿色两步非食品高值化</x:v>
      </x:c>
      <x:c r="M8" s="31" t="str">
        <x:v>未从公开摘要提取</x:v>
      </x:c>
      <x:c r="N8" s="31" t="str">
        <x:v>3–5</x:v>
      </x:c>
      <x:c r="O8" s="31" t="str">
        <x:v>未从公开摘要提取</x:v>
      </x:c>
      <x:c r="P8" s="31" t="str">
        <x:v>未从公开摘要提取</x:v>
      </x:c>
      <x:c r="Q8" s="31" t="str">
        <x:v>λem约490 nm；寿命4.51 ns</x:v>
      </x:c>
      <x:c r="R8" s="31" t="str">
        <x:v>部分石墨化；富含含氧官能团</x:v>
      </x:c>
      <x:c r="S8" s="31" t="str">
        <x:v>S. aureus；K. pneumoniae</x:v>
      </x:c>
      <x:c r="T8" s="31" t="str">
        <x:v>抑菌圈；24–72 h</x:v>
      </x:c>
      <x:c r="U8" s="31" t="str">
        <x:v>24 h约22 mm / 20 mm</x:v>
      </x:c>
      <x:c r="V8" s="31" t="str">
        <x:v>作者未直接验证；讨论膜扰动/氧化应激可能性</x:v>
      </x:c>
      <x:c r="W8" s="31" t="str">
        <x:v>抗菌涂层/功能纸/传感墨水；成像</x:v>
      </x:c>
      <x:c r="X8" s="31" t="str">
        <x:v>L929 24 h 93.1±6.5%</x:v>
      </x:c>
      <x:c r="Y8" s="31" t="str">
        <x:v>木质素来源、LNP粒径、温度、时间、含氧官能团</x:v>
      </x:c>
      <x:c r="Z8" s="31" t="str">
        <x:v>ZOI、细胞存活率、粒径/寿命</x:v>
      </x:c>
      <x:c r="AA8" s="31" t="str">
        <x:v>中；OA全文可继续人工抽取</x:v>
      </x:c>
    </x:row>
    <x:row r="9">
      <x:c r="A9" s="31" t="str">
        <x:v>A04</x:v>
      </x:c>
      <x:c r="B9" s="31" t="n">
        <x:v>2026</x:v>
      </x:c>
      <x:c r="C9" s="31" t="str">
        <x:v>椰壳Lig-NCDs</x:v>
      </x:c>
      <x:c r="D9" s="31" t="str">
        <x:v>椰壳木质素</x:v>
      </x:c>
      <x:c r="E9" s="31" t="str">
        <x:v>椰壳木质素作为碳源</x:v>
      </x:c>
      <x:c r="F9" s="31" t="str">
        <x:v>水热</x:v>
      </x:c>
      <x:c r="G9" s="31" t="str">
        <x:v>未从公开摘要提取</x:v>
      </x:c>
      <x:c r="H9" s="31" t="str">
        <x:v>未从公开摘要提取</x:v>
      </x:c>
      <x:c r="I9" s="31" t="str">
        <x:v>邻苯二胺（N源）</x:v>
      </x:c>
      <x:c r="J9" s="31" t="str">
        <x:v>未从公开摘要提取</x:v>
      </x:c>
      <x:c r="K9" s="31" t="str">
        <x:v>未从公开摘要提取</x:v>
      </x:c>
      <x:c r="L9" s="31" t="str">
        <x:v>兼顾Hg2+传感</x:v>
      </x:c>
      <x:c r="M9" s="31" t="str">
        <x:v>未从公开摘要提取</x:v>
      </x:c>
      <x:c r="N9" s="31" t="str">
        <x:v>3.87±0.12</x:v>
      </x:c>
      <x:c r="O9" s="31" t="str">
        <x:v>未从公开摘要提取</x:v>
      </x:c>
      <x:c r="P9" s="31" t="str">
        <x:v>未从公开摘要提取</x:v>
      </x:c>
      <x:c r="Q9" s="31" t="str">
        <x:v>Hg2+ LOD 69.6 nM</x:v>
      </x:c>
      <x:c r="R9" s="31" t="str">
        <x:v>部分石墨化核心+无定形碳；表面富N/O</x:v>
      </x:c>
      <x:c r="S9" s="31" t="str">
        <x:v>E. coli；S. aureus</x:v>
      </x:c>
      <x:c r="T9" s="31" t="str">
        <x:v>抗菌活性（细节需全文）</x:v>
      </x:c>
      <x:c r="U9" s="31" t="str">
        <x:v>强抗菌（摘要定性）</x:v>
      </x:c>
      <x:c r="V9" s="31" t="str">
        <x:v>未从公开摘要提取</x:v>
      </x:c>
      <x:c r="W9" s="31" t="str">
        <x:v>Hg2+传感+抗菌+HCT116成像</x:v>
      </x:c>
      <x:c r="X9" s="31" t="str">
        <x:v>报告生物相容性</x:v>
      </x:c>
      <x:c r="Y9" s="31" t="str">
        <x:v>邻苯二胺/木质素比、N/O含量、粒径</x:v>
      </x:c>
      <x:c r="Z9" s="31" t="str">
        <x:v>杀菌率/MIC、QY、Hg2+响应</x:v>
      </x:c>
      <x:c r="AA9" s="31" t="str">
        <x:v>中</x:v>
      </x:c>
    </x:row>
    <x:row r="10">
      <x:c r="A10" s="31" t="str">
        <x:v>A05</x:v>
      </x:c>
      <x:c r="B10" s="31" t="n">
        <x:v>2024</x:v>
      </x:c>
      <x:c r="C10" s="31" t="str">
        <x:v>象草木质素光活性CD膜</x:v>
      </x:c>
      <x:c r="D10" s="31" t="str">
        <x:v>象草(P. purpureum)叶木质素</x:v>
      </x:c>
      <x:c r="E10" s="31" t="str">
        <x:v>1% H2SO4酸水解等步骤提取木质素</x:v>
      </x:c>
      <x:c r="F10" s="31" t="str">
        <x:v>H2O2辅助水热</x:v>
      </x:c>
      <x:c r="G10" s="31" t="str">
        <x:v>DI水</x:v>
      </x:c>
      <x:c r="H10" s="31" t="str">
        <x:v>100 mg/30 mL</x:v>
      </x:c>
      <x:c r="I10" s="31" t="str">
        <x:v>2 mL 30% H2O2</x:v>
      </x:c>
      <x:c r="J10" s="31" t="str">
        <x:v>180</x:v>
      </x:c>
      <x:c r="K10" s="31" t="str">
        <x:v>10 min</x:v>
      </x:c>
      <x:c r="L10" s="31" t="str">
        <x:v>木质素分散液先超声45 min</x:v>
      </x:c>
      <x:c r="M10" s="31" t="str">
        <x:v>0.22 μm PVDF过滤；MWCO 3500 Da透析24 h</x:v>
      </x:c>
      <x:c r="N10" s="31" t="str">
        <x:v>10.7±1.9</x:v>
      </x:c>
      <x:c r="O10" s="31" t="str">
        <x:v>未从公开页面提取</x:v>
      </x:c>
      <x:c r="P10" s="31" t="str">
        <x:v>47.8</x:v>
      </x:c>
      <x:c r="Q10" s="31" t="str">
        <x:v>光照/365 nm UV激活</x:v>
      </x:c>
      <x:c r="R10" s="31" t="str">
        <x:v>近球形；具体XPS见全文</x:v>
      </x:c>
      <x:c r="S10" s="31" t="str">
        <x:v>E. coli；B. subtilis</x:v>
      </x:c>
      <x:c r="T10" s="31" t="str">
        <x:v>平板计数；暗/模拟太阳光/365 nm UV</x:v>
      </x:c>
      <x:c r="U10" s="31" t="str">
        <x:v>CD-500/CD-1000在UV下毒性最高</x:v>
      </x:c>
      <x:c r="V10" s="31" t="str">
        <x:v>光激活ROS/光动力相关</x:v>
      </x:c>
      <x:c r="W10" s="31" t="str">
        <x:v>反渗透TFC膜抗生物污染</x:v>
      </x:c>
      <x:c r="X10" s="31" t="str">
        <x:v>未作为主要终点</x:v>
      </x:c>
      <x:c r="Y10" s="31" t="str">
        <x:v>H2O2量、CD负载量、光强/波长、粒径</x:v>
      </x:c>
      <x:c r="Z10" s="31" t="str">
        <x:v>杀菌率、膜通量、QY</x:v>
      </x:c>
      <x:c r="AA10" s="31" t="str">
        <x:v>高；公开页面工艺非常完整</x:v>
      </x:c>
    </x:row>
    <x:row r="11">
      <x:c r="A11" s="31" t="str">
        <x:v>A06</x:v>
      </x:c>
      <x:c r="B11" s="31" t="n">
        <x:v>2024</x:v>
      </x:c>
      <x:c r="C11" s="31" t="str">
        <x:v>GMA-LCDs/PLA创面敷料</x:v>
      </x:c>
      <x:c r="D11" s="31" t="str">
        <x:v>木质素碳点（来源见全文）</x:v>
      </x:c>
      <x:c r="E11" s="31" t="str">
        <x:v>LCDs掺入GMA并3D打印；与PLA纳米纤维复合</x:v>
      </x:c>
      <x:c r="F11" s="31" t="str">
        <x:v>LCDs制备+复合加工</x:v>
      </x:c>
      <x:c r="G11" s="31" t="str">
        <x:v>未从公开页面提取</x:v>
      </x:c>
      <x:c r="H11" s="31" t="str">
        <x:v>未从公开页面提取</x:v>
      </x:c>
      <x:c r="I11" s="31" t="str">
        <x:v>无明确外加抗菌药</x:v>
      </x:c>
      <x:c r="J11" s="31" t="str">
        <x:v>未从公开页面提取</x:v>
      </x:c>
      <x:c r="K11" s="31" t="str">
        <x:v>未从公开页面提取</x:v>
      </x:c>
      <x:c r="L11" s="31" t="str">
        <x:v>GMA UV交联；PLA solution blow spinning</x:v>
      </x:c>
      <x:c r="M11" s="31" t="str">
        <x:v>未从公开页面提取</x:v>
      </x:c>
      <x:c r="N11" s="31" t="str">
        <x:v>未从公开页面提取</x:v>
      </x:c>
      <x:c r="O11" s="31" t="str">
        <x:v>未从公开页面提取</x:v>
      </x:c>
      <x:c r="P11" s="31" t="str">
        <x:v>未从公开页面提取</x:v>
      </x:c>
      <x:c r="Q11" s="31" t="str">
        <x:v>未从公开页面提取</x:v>
      </x:c>
      <x:c r="R11" s="31" t="str">
        <x:v>作者讨论酚羟基/ROS作用</x:v>
      </x:c>
      <x:c r="S11" s="31" t="str">
        <x:v>S. aureus；E. coli</x:v>
      </x:c>
      <x:c r="T11" s="31" t="str">
        <x:v>disk diffusion/接触抑菌</x:v>
      </x:c>
      <x:c r="U11" s="31" t="str">
        <x:v>无明显抑菌圈，但含LCDs样品抑制接触生长</x:v>
      </x:c>
      <x:c r="V11" s="31" t="str">
        <x:v>讨论氧化应激/ROS和膜失稳</x:v>
      </x:c>
      <x:c r="W11" s="31" t="str">
        <x:v>3D打印双层创面敷料</x:v>
      </x:c>
      <x:c r="X11" s="31" t="str">
        <x:v>人源成纤维细胞无明显不良影响</x:v>
      </x:c>
      <x:c r="Y11" s="31" t="str">
        <x:v>LCDs含量、GMA交联度、膜结构</x:v>
      </x:c>
      <x:c r="Z11" s="31" t="str">
        <x:v>接触杀菌率、细胞活性、力学性能</x:v>
      </x:c>
      <x:c r="AA11" s="31" t="str">
        <x:v>中</x:v>
      </x:c>
    </x:row>
    <x:row r="12">
      <x:c r="A12" s="31" t="str">
        <x:v>A07</x:v>
      </x:c>
      <x:c r="B12" s="31" t="n">
        <x:v>2025</x:v>
      </x:c>
      <x:c r="C12" s="31" t="str">
        <x:v>PLA/LCDots/Cur纤维膜</x:v>
      </x:c>
      <x:c r="D12" s="31" t="str">
        <x:v>Kraft木质素（Ingevity）</x:v>
      </x:c>
      <x:c r="E12" s="31" t="str">
        <x:v>2.5 wt%木质素水溶液</x:v>
      </x:c>
      <x:c r="F12" s="31" t="str">
        <x:v>水热</x:v>
      </x:c>
      <x:c r="G12" s="31" t="str">
        <x:v>水</x:v>
      </x:c>
      <x:c r="H12" s="31" t="str">
        <x:v>2.5 wt%</x:v>
      </x:c>
      <x:c r="I12" s="31" t="str">
        <x:v>后续复合姜黄素</x:v>
      </x:c>
      <x:c r="J12" s="31" t="str">
        <x:v>180</x:v>
      </x:c>
      <x:c r="K12" s="31" t="str">
        <x:v>5.5 h</x:v>
      </x:c>
      <x:c r="L12" s="31" t="str">
        <x:v>LCDots与Cur加入PLA，solution blow spinning</x:v>
      </x:c>
      <x:c r="M12" s="31" t="str">
        <x:v>0.22 μm过滤；MWCO 2000 Da透析48 h</x:v>
      </x:c>
      <x:c r="N12" s="31" t="str">
        <x:v>需全文图表</x:v>
      </x:c>
      <x:c r="O12" s="31" t="str">
        <x:v>未从公开页面提取</x:v>
      </x:c>
      <x:c r="P12" s="31" t="str">
        <x:v>未从公开页面提取</x:v>
      </x:c>
      <x:c r="Q12" s="31" t="str">
        <x:v>荧光/电学性质</x:v>
      </x:c>
      <x:c r="R12" s="31" t="str">
        <x:v>LCDots表面官能团未在公开片段定量</x:v>
      </x:c>
      <x:c r="S12" s="31" t="str">
        <x:v>S. aureus；P. aeruginosa</x:v>
      </x:c>
      <x:c r="T12" s="31" t="str">
        <x:v>抑菌圈/微生物穿透</x:v>
      </x:c>
      <x:c r="U12" s="31" t="str">
        <x:v>复合膜具抗菌；未观察微生物接触/黏附（摘要）</x:v>
      </x:c>
      <x:c r="V12" s="31" t="str">
        <x:v>复合体系，姜黄素贡献显著</x:v>
      </x:c>
      <x:c r="W12" s="31" t="str">
        <x:v>创面敷料</x:v>
      </x:c>
      <x:c r="X12" s="31" t="str">
        <x:v>HDFn体外生物相容性好</x:v>
      </x:c>
      <x:c r="Y12" s="31" t="str">
        <x:v>LCDots浓度、Cur含量、纤维直径/孔隙</x:v>
      </x:c>
      <x:c r="Z12" s="31" t="str">
        <x:v>杀菌率、穿透率、细胞活性</x:v>
      </x:c>
      <x:c r="AA12" s="31" t="str">
        <x:v>高（LCDots制备）；抗菌归因需谨慎</x:v>
      </x:c>
    </x:row>
    <x:row r="13">
      <x:c r="A13" s="31" t="str">
        <x:v>A08</x:v>
      </x:c>
      <x:c r="B13" s="31" t="n">
        <x:v>2025</x:v>
      </x:c>
      <x:c r="C13" s="31" t="str">
        <x:v>LCQDs/PVA抗菌包装</x:v>
      </x:c>
      <x:c r="D13" s="31" t="str">
        <x:v>木质素LCQDs</x:v>
      </x:c>
      <x:c r="E13" s="31" t="str">
        <x:v>具体LCQDs制备需全文</x:v>
      </x:c>
      <x:c r="F13" s="31" t="str">
        <x:v>LCQDs制备 + PVA成膜</x:v>
      </x:c>
      <x:c r="G13" s="31" t="str">
        <x:v>未从公开摘要提取</x:v>
      </x:c>
      <x:c r="H13" s="31" t="str">
        <x:v>未从公开摘要提取</x:v>
      </x:c>
      <x:c r="I13" s="31" t="str">
        <x:v>未从公开摘要提取</x:v>
      </x:c>
      <x:c r="J13" s="31" t="str">
        <x:v>未从公开摘要提取</x:v>
      </x:c>
      <x:c r="K13" s="31" t="str">
        <x:v>未从公开摘要提取</x:v>
      </x:c>
      <x:c r="L13" s="31" t="str">
        <x:v>LCQDs加入PVA</x:v>
      </x:c>
      <x:c r="M13" s="31" t="str">
        <x:v>未从公开摘要提取</x:v>
      </x:c>
      <x:c r="N13" s="31" t="str">
        <x:v>未从公开摘要提取</x:v>
      </x:c>
      <x:c r="O13" s="31" t="str">
        <x:v>未从公开摘要提取</x:v>
      </x:c>
      <x:c r="P13" s="31" t="str">
        <x:v>未从公开摘要提取</x:v>
      </x:c>
      <x:c r="Q13" s="31" t="str">
        <x:v>UV阻隔&gt;90%；抗氧化&gt;90%</x:v>
      </x:c>
      <x:c r="R13" s="31" t="str">
        <x:v>氢键增强界面</x:v>
      </x:c>
      <x:c r="S13" s="31" t="str">
        <x:v>S. aureus；E. coli</x:v>
      </x:c>
      <x:c r="T13" s="31" t="str">
        <x:v>抑菌率</x:v>
      </x:c>
      <x:c r="U13" s="31" t="str">
        <x:v>约89%；100%</x:v>
      </x:c>
      <x:c r="V13" s="31" t="str">
        <x:v>未从摘要直接验证</x:v>
      </x:c>
      <x:c r="W13" s="31" t="str">
        <x:v>活性食品包装</x:v>
      </x:c>
      <x:c r="X13" s="31" t="str">
        <x:v>未从公开摘要提取</x:v>
      </x:c>
      <x:c r="Y13" s="31" t="str">
        <x:v>LCQDs添加量、膜厚、表面电荷</x:v>
      </x:c>
      <x:c r="Z13" s="31" t="str">
        <x:v>抑菌率、透明度、UV阻隔、力学</x:v>
      </x:c>
      <x:c r="AA13" s="31" t="str">
        <x:v>中</x:v>
      </x:c>
    </x:row>
    <x:row r="14">
      <x:c r="A14" s="31" t="str">
        <x:v>A09</x:v>
      </x:c>
      <x:c r="B14" s="31" t="n">
        <x:v>2024</x:v>
      </x:c>
      <x:c r="C14" s="31" t="str">
        <x:v>椰壳LCDs/卡拉胶智能包装</x:v>
      </x:c>
      <x:c r="D14" s="31" t="str">
        <x:v>椰壳提取碱木质素</x:v>
      </x:c>
      <x:c r="E14" s="31" t="str">
        <x:v>NaOH提取；间苯二胺Mannich胺化</x:v>
      </x:c>
      <x:c r="F14" s="31" t="str">
        <x:v>溶剂热</x:v>
      </x:c>
      <x:c r="G14" s="31" t="str">
        <x:v>未从公开摘要提取</x:v>
      </x:c>
      <x:c r="H14" s="31" t="str">
        <x:v>未从公开摘要提取</x:v>
      </x:c>
      <x:c r="I14" s="31" t="str">
        <x:v>间苯二胺（胺化）</x:v>
      </x:c>
      <x:c r="J14" s="31" t="str">
        <x:v>未从公开摘要提取</x:v>
      </x:c>
      <x:c r="K14" s="31" t="str">
        <x:v>未从公开摘要提取</x:v>
      </x:c>
      <x:c r="L14" s="31" t="str">
        <x:v>CDs按1/2/3 wt%加入卡拉胶</x:v>
      </x:c>
      <x:c r="M14" s="31" t="str">
        <x:v>未从公开摘要提取</x:v>
      </x:c>
      <x:c r="N14" s="31" t="str">
        <x:v>未从公开摘要提取</x:v>
      </x:c>
      <x:c r="O14" s="31" t="str">
        <x:v>未从公开摘要提取</x:v>
      </x:c>
      <x:c r="P14" s="31" t="str">
        <x:v>未从公开摘要提取</x:v>
      </x:c>
      <x:c r="Q14" s="31" t="str">
        <x:v>pH响应荧光；UV阻隔70%</x:v>
      </x:c>
      <x:c r="R14" s="31" t="str">
        <x:v>N功能化CDs</x:v>
      </x:c>
      <x:c r="S14" s="31" t="str">
        <x:v>E. coli；S. aureus</x:v>
      </x:c>
      <x:c r="T14" s="31" t="str">
        <x:v>复合膜抗菌测试</x:v>
      </x:c>
      <x:c r="U14" s="31" t="str">
        <x:v>优秀抗菌（摘要未给数值）</x:v>
      </x:c>
      <x:c r="V14" s="31" t="str">
        <x:v>未从摘要直接验证</x:v>
      </x:c>
      <x:c r="W14" s="31" t="str">
        <x:v>牛奶变质监测智能包装</x:v>
      </x:c>
      <x:c r="X14" s="31" t="str">
        <x:v>未从公开摘要提取</x:v>
      </x:c>
      <x:c r="Y14" s="31" t="str">
        <x:v>CDs添加量、pH、N含量、膜厚</x:v>
      </x:c>
      <x:c r="Z14" s="31" t="str">
        <x:v>抑菌率、荧光颜色/强度、OTR/CO2渗透</x:v>
      </x:c>
      <x:c r="AA14" s="31" t="str">
        <x:v>中</x:v>
      </x:c>
    </x:row>
    <x:row r="15">
      <x:c r="A15" s="31" t="str">
        <x:v>B01</x:v>
      </x:c>
      <x:c r="B15" s="31" t="n">
        <x:v>2025</x:v>
      </x:c>
      <x:c r="C15" s="31" t="str">
        <x:v>Kraft-EDA CDs RSM优化</x:v>
      </x:c>
      <x:c r="D15" s="31" t="str">
        <x:v>工业Kraft木质素</x:v>
      </x:c>
      <x:c r="E15" s="31" t="str">
        <x:v>硬木Kraft木质素；原料性质有TGA/Mw分析</x:v>
      </x:c>
      <x:c r="F15" s="31" t="str">
        <x:v>水热 + CCD/RSM</x:v>
      </x:c>
      <x:c r="G15" s="31" t="str">
        <x:v>水系</x:v>
      </x:c>
      <x:c r="H15" s="31" t="str">
        <x:v>CCD变量之一：木质素质量</x:v>
      </x:c>
      <x:c r="I15" s="31" t="str">
        <x:v>乙二胺</x:v>
      </x:c>
      <x:c r="J15" s="31" t="str">
        <x:v>CCD变量之一</x:v>
      </x:c>
      <x:c r="K15" s="31" t="str">
        <x:v>CCD变量之一（ANOVA显示时间不显著）</x:v>
      </x:c>
      <x:c r="L15" s="31" t="str">
        <x:v>30组中央复合设计；温度、EDA体积、木质素质量显著</x:v>
      </x:c>
      <x:c r="M15" s="31" t="str">
        <x:v>未从公开摘要提取</x:v>
      </x:c>
      <x:c r="N15" s="31" t="str">
        <x:v>纳米尺度</x:v>
      </x:c>
      <x:c r="O15" s="31" t="str">
        <x:v>&lt; -20</x:v>
      </x:c>
      <x:c r="P15" s="31" t="str">
        <x:v>2.7→11.3</x:v>
      </x:c>
      <x:c r="Q15" s="31" t="str">
        <x:v>质量产率约提升5倍</x:v>
      </x:c>
      <x:c r="R15" s="31" t="str">
        <x:v>吡咯N/吡啶N；N掺杂</x:v>
      </x:c>
      <x:c r="S15" s="31" t="str">
        <x:v>不适用</x:v>
      </x:c>
      <x:c r="T15" s="31" t="str">
        <x:v>不适用</x:v>
      </x:c>
      <x:c r="U15" s="31" t="str">
        <x:v>不适用</x:v>
      </x:c>
      <x:c r="V15" s="31" t="str">
        <x:v>不适用</x:v>
      </x:c>
      <x:c r="W15" s="31" t="str">
        <x:v>工艺优化/经济性</x:v>
      </x:c>
      <x:c r="X15" s="31" t="str">
        <x:v>不适用</x:v>
      </x:c>
      <x:c r="Y15" s="31" t="str">
        <x:v>温度、时间、EDA体积、木质素质量</x:v>
      </x:c>
      <x:c r="Z15" s="31" t="str">
        <x:v>QY、产率、Zeta、寿命</x:v>
      </x:c>
      <x:c r="AA15" s="31" t="str">
        <x:v>很高；非常适合迁移到ML</x:v>
      </x:c>
    </x:row>
    <x:row r="16">
      <x:c r="A16" s="31" t="str">
        <x:v>B02</x:v>
      </x:c>
      <x:c r="B16" s="31" t="n">
        <x:v>2024</x:v>
      </x:c>
      <x:c r="C16" s="31" t="str">
        <x:v>木质素Mw效应</x:v>
      </x:c>
      <x:c r="D16" s="31" t="str">
        <x:v>分级碱木质素</x:v>
      </x:c>
      <x:c r="E16" s="31" t="str">
        <x:v>Mw约7100–2000；5个级分</x:v>
      </x:c>
      <x:c r="F16" s="31" t="str">
        <x:v>水热</x:v>
      </x:c>
      <x:c r="G16" s="31" t="str">
        <x:v>未从公开页面提取</x:v>
      </x:c>
      <x:c r="H16" s="31" t="str">
        <x:v>按各Mw级分</x:v>
      </x:c>
      <x:c r="I16" s="31" t="str">
        <x:v>无/主要考察原料Mw</x:v>
      </x:c>
      <x:c r="J16" s="31" t="str">
        <x:v>未从公开页面提取</x:v>
      </x:c>
      <x:c r="K16" s="31" t="str">
        <x:v>未从公开页面提取</x:v>
      </x:c>
      <x:c r="L16" s="31" t="str">
        <x:v>连续有机溶剂沉淀分级</x:v>
      </x:c>
      <x:c r="M16" s="31" t="str">
        <x:v>未从公开页面提取</x:v>
      </x:c>
      <x:c r="N16" s="31" t="str">
        <x:v>未从公开页面提取</x:v>
      </x:c>
      <x:c r="O16" s="31" t="str">
        <x:v>未从公开页面提取</x:v>
      </x:c>
      <x:c r="P16" s="31" t="str">
        <x:v>未从公开页面提取</x:v>
      </x:c>
      <x:c r="Q16" s="31" t="str">
        <x:v>Mw≈5042组荧光强度为原始组1.86倍</x:v>
      </x:c>
      <x:c r="R16" s="31" t="str">
        <x:v>与vanillin/benzaldehyde类小分子生成和共轭碳核相关</x:v>
      </x:c>
      <x:c r="S16" s="31" t="str">
        <x:v>不适用</x:v>
      </x:c>
      <x:c r="T16" s="31" t="str">
        <x:v>不适用</x:v>
      </x:c>
      <x:c r="U16" s="31" t="str">
        <x:v>不适用</x:v>
      </x:c>
      <x:c r="V16" s="31" t="str">
        <x:v>不适用</x:v>
      </x:c>
      <x:c r="W16" s="31" t="str">
        <x:v>生物成像</x:v>
      </x:c>
      <x:c r="X16" s="31" t="str">
        <x:v>报道L02/HepG2/E. coli成像</x:v>
      </x:c>
      <x:c r="Y16" s="31" t="str">
        <x:v>Mw、PDI、酚羟基、甲氧基</x:v>
      </x:c>
      <x:c r="Z16" s="31" t="str">
        <x:v>QY/荧光强度、粒径、产率</x:v>
      </x:c>
      <x:c r="AA16" s="31" t="str">
        <x:v>高；关键原料特征文献</x:v>
      </x:c>
    </x:row>
    <x:row r="17">
      <x:c r="A17" s="31" t="str">
        <x:v>B03</x:v>
      </x:c>
      <x:c r="B17" s="31" t="n">
        <x:v>2024</x:v>
      </x:c>
      <x:c r="C17" s="31" t="str">
        <x:v>LCD形成机理</x:v>
      </x:c>
      <x:c r="D17" s="31" t="str">
        <x:v>木质素</x:v>
      </x:c>
      <x:c r="E17" s="31" t="str">
        <x:v>低温有机酸液相解聚；按分子量/组分分离</x:v>
      </x:c>
      <x:c r="F17" s="31" t="str">
        <x:v>两步：低温解聚+水热</x:v>
      </x:c>
      <x:c r="G17" s="31" t="str">
        <x:v>温和有机酸体系</x:v>
      </x:c>
      <x:c r="H17" s="31" t="str">
        <x:v>按组分C1等</x:v>
      </x:c>
      <x:c r="I17" s="31" t="str">
        <x:v>有机酸；C1富N-H/C-OH</x:v>
      </x:c>
      <x:c r="J17" s="31" t="str">
        <x:v>未从公开摘要提取</x:v>
      </x:c>
      <x:c r="K17" s="31" t="str">
        <x:v>未从公开摘要提取</x:v>
      </x:c>
      <x:c r="L17" s="31" t="str">
        <x:v>解析上清/固体残渣两条形成路径</x:v>
      </x:c>
      <x:c r="M17" s="31" t="str">
        <x:v>未从公开摘要提取</x:v>
      </x:c>
      <x:c r="N17" s="31" t="str">
        <x:v>未从公开摘要提取</x:v>
      </x:c>
      <x:c r="O17" s="31" t="str">
        <x:v>未从公开摘要提取</x:v>
      </x:c>
      <x:c r="P17" s="31" t="str">
        <x:v>19.5（最佳C1）</x:v>
      </x:c>
      <x:c r="Q17" s="31" t="str">
        <x:v>产率16.5%（最佳C1）</x:v>
      </x:c>
      <x:c r="R17" s="31" t="str">
        <x:v>脱水、缩合、交联、碳化形成CQDs</x:v>
      </x:c>
      <x:c r="S17" s="31" t="str">
        <x:v>不适用</x:v>
      </x:c>
      <x:c r="T17" s="31" t="str">
        <x:v>不适用</x:v>
      </x:c>
      <x:c r="U17" s="31" t="str">
        <x:v>不适用</x:v>
      </x:c>
      <x:c r="V17" s="31" t="str">
        <x:v>不适用</x:v>
      </x:c>
      <x:c r="W17" s="31" t="str">
        <x:v>形成机理</x:v>
      </x:c>
      <x:c r="X17" s="31" t="str">
        <x:v>不适用</x:v>
      </x:c>
      <x:c r="Y17" s="31" t="str">
        <x:v>前驱体组分/Mw、官能团、温度/时间</x:v>
      </x:c>
      <x:c r="Z17" s="31" t="str">
        <x:v>QY、产率、结构参数</x:v>
      </x:c>
      <x:c r="AA17" s="31" t="str">
        <x:v>高</x:v>
      </x:c>
    </x:row>
    <x:row r="18">
      <x:c r="A18" s="31" t="str">
        <x:v>B04</x:v>
      </x:c>
      <x:c r="B18" s="31" t="n">
        <x:v>2024</x:v>
      </x:c>
      <x:c r="C18" s="31" t="str">
        <x:v>HNO3辅助LCDs</x:v>
      </x:c>
      <x:c r="D18" s="31" t="str">
        <x:v>碱木质素</x:v>
      </x:c>
      <x:c r="E18" s="31" t="str">
        <x:v>HNO3剂量系统变化</x:v>
      </x:c>
      <x:c r="F18" s="31" t="str">
        <x:v>HNO3辅助一锅水热</x:v>
      </x:c>
      <x:c r="G18" s="31" t="str">
        <x:v>酸性水系</x:v>
      </x:c>
      <x:c r="H18" s="31" t="str">
        <x:v>未从公开摘要提取</x:v>
      </x:c>
      <x:c r="I18" s="31" t="str">
        <x:v>HNO3（剂量为主变量）</x:v>
      </x:c>
      <x:c r="J18" s="31" t="str">
        <x:v>未从公开摘要提取</x:v>
      </x:c>
      <x:c r="K18" s="31" t="str">
        <x:v>未从公开摘要提取</x:v>
      </x:c>
      <x:c r="L18" s="31" t="str">
        <x:v>考察酸量对结构/光学的影响</x:v>
      </x:c>
      <x:c r="M18" s="31" t="str">
        <x:v>未从公开摘要提取</x:v>
      </x:c>
      <x:c r="N18" s="31" t="str">
        <x:v>1–5</x:v>
      </x:c>
      <x:c r="O18" s="31" t="str">
        <x:v>未从公开摘要提取</x:v>
      </x:c>
      <x:c r="P18" s="31" t="str">
        <x:v>2.61→10.17</x:v>
      </x:c>
      <x:c r="Q18" s="31" t="str">
        <x:v>发射中心517→499 nm</x:v>
      </x:c>
      <x:c r="R18" s="31" t="str">
        <x:v>石墨化程度和N掺杂随HNO3增加</x:v>
      </x:c>
      <x:c r="S18" s="31" t="str">
        <x:v>不适用</x:v>
      </x:c>
      <x:c r="T18" s="31" t="str">
        <x:v>不适用</x:v>
      </x:c>
      <x:c r="U18" s="31" t="str">
        <x:v>不适用</x:v>
      </x:c>
      <x:c r="V18" s="31" t="str">
        <x:v>不适用</x:v>
      </x:c>
      <x:c r="W18" s="31" t="str">
        <x:v>光学调控</x:v>
      </x:c>
      <x:c r="X18" s="31" t="str">
        <x:v>不适用</x:v>
      </x:c>
      <x:c r="Y18" s="31" t="str">
        <x:v>HNO3剂量、pH、N含量、石墨化度</x:v>
      </x:c>
      <x:c r="Z18" s="31" t="str">
        <x:v>QY、发射波长、粒径</x:v>
      </x:c>
      <x:c r="AA18" s="31" t="str">
        <x:v>高</x:v>
      </x:c>
    </x:row>
    <x:row r="19">
      <x:c r="A19" s="31" t="str">
        <x:v>B05</x:v>
      </x:c>
      <x:c r="B19" s="31" t="n">
        <x:v>2018</x:v>
      </x:c>
      <x:c r="C19" s="31" t="str">
        <x:v>Kraft lignin CDs</x:v>
      </x:c>
      <x:c r="D19" s="31" t="str">
        <x:v>Kraft木质素</x:v>
      </x:c>
      <x:c r="E19" s="31" t="str">
        <x:v>CO2反溶剂法后碳化；H2SO4:HNO3=1:3氧化</x:v>
      </x:c>
      <x:c r="F19" s="31" t="str">
        <x:v>碳化+酸氧化</x:v>
      </x:c>
      <x:c r="G19" s="31" t="str">
        <x:v>强酸混合物</x:v>
      </x:c>
      <x:c r="H19" s="31" t="str">
        <x:v>未从公开摘要提取</x:v>
      </x:c>
      <x:c r="I19" s="31" t="str">
        <x:v>H2SO4/HNO3=1:3 (v/v)</x:v>
      </x:c>
      <x:c r="J19" s="31" t="str">
        <x:v>90</x:v>
      </x:c>
      <x:c r="K19" s="31" t="str">
        <x:v>8/16/24 h</x:v>
      </x:c>
      <x:c r="L19" s="31" t="str">
        <x:v>反应时间梯度</x:v>
      </x:c>
      <x:c r="M19" s="31" t="str">
        <x:v>未从公开摘要提取</x:v>
      </x:c>
      <x:c r="N19" s="31" t="str">
        <x:v>未从公开摘要提取</x:v>
      </x:c>
      <x:c r="O19" s="31" t="str">
        <x:v>未从公开摘要提取</x:v>
      </x:c>
      <x:c r="P19" s="31" t="str">
        <x:v>最高13（24 h）</x:v>
      </x:c>
      <x:c r="Q19" s="31" t="str">
        <x:v>pH依赖荧光；高盐/光稳定</x:v>
      </x:c>
      <x:c r="R19" s="31" t="str">
        <x:v>表面氧化程度随时间增加</x:v>
      </x:c>
      <x:c r="S19" s="31" t="str">
        <x:v>不适用</x:v>
      </x:c>
      <x:c r="T19" s="31" t="str">
        <x:v>不适用</x:v>
      </x:c>
      <x:c r="U19" s="31" t="str">
        <x:v>不适用</x:v>
      </x:c>
      <x:c r="V19" s="31" t="str">
        <x:v>不适用</x:v>
      </x:c>
      <x:c r="W19" s="31" t="str">
        <x:v>生物成像</x:v>
      </x:c>
      <x:c r="X19" s="31" t="str">
        <x:v>低细胞毒性（摘要）</x:v>
      </x:c>
      <x:c r="Y19" s="31" t="str">
        <x:v>酸比例、时间、氧化程度</x:v>
      </x:c>
      <x:c r="Z19" s="31" t="str">
        <x:v>QY、荧光强度、稳定性</x:v>
      </x:c>
      <x:c r="AA19" s="31" t="str">
        <x:v>中高</x:v>
      </x:c>
    </x:row>
  </x:sheetData>
  <x:mergeCells>
    <x:mergeCell ref="A1:AA1"/>
    <x:mergeCell ref="A2:AA3"/>
  </x:mergeCells>
  <x:conditionalFormatting sqref="AA6:AA19">
    <x:cfRule type="expression" dxfId="3" priority="1">
      <x:formula>LEFT(AA6,1)="高"</x:formula>
    </x:cfRule>
    <x:cfRule type="expression" dxfId="4" priority="2">
      <x:formula>LEFT(AA6,1)="中"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b4f635e7d449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38" hidden="0" customWidth="1"/>
    <x:col min="5" max="5" width="26" hidden="0" customWidth="1"/>
    <x:col min="6" max="6" width="30" hidden="0" customWidth="1"/>
    <x:col min="7" max="7" width="12" hidden="0" customWidth="1"/>
    <x:col min="8" max="8" width="38" hidden="0" customWidth="1"/>
  </x:cols>
  <x:sheetData>
    <x:row r="1">
      <x:c r="A1" s="5" t="str">
        <x:v>机器学习变量设计建议：木质素 → 合成 → 结构/ROS → 抗菌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30–50个样本的小数据集优先RF、XGBoost、Gaussian Process；用SHAP做可解释性；得到第一版模型后再用Bayesian Optimization推荐下一批实验。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0" t="str">
        <x:v>类别</x:v>
      </x:c>
      <x:c r="B5" s="30" t="str">
        <x:v>变量</x:v>
      </x:c>
      <x:c r="C5" s="30" t="str">
        <x:v>数据类型</x:v>
      </x:c>
      <x:c r="D5" s="30" t="str">
        <x:v>建议范围/水平</x:v>
      </x:c>
      <x:c r="E5" s="30" t="str">
        <x:v>测量/记录方法</x:v>
      </x:c>
      <x:c r="F5" s="30" t="str">
        <x:v>在模型中的作用</x:v>
      </x:c>
      <x:c r="G5" s="30" t="str">
        <x:v>优先级</x:v>
      </x:c>
      <x:c r="H5" s="30" t="str">
        <x:v>实施备注</x:v>
      </x:c>
    </x:row>
    <x:row r="6">
      <x:c r="A6" s="31" t="str">
        <x:v>输入-原料</x:v>
      </x:c>
      <x:c r="B6" s="31" t="str">
        <x:v>木质素类型/来源</x:v>
      </x:c>
      <x:c r="C6" s="31" t="str">
        <x:v>分类变量</x:v>
      </x:c>
      <x:c r="D6" s="31" t="str">
        <x:v>第一阶段固定1种；第二阶段再扩展2–4种</x:v>
      </x:c>
      <x:c r="E6" s="31" t="str">
        <x:v>供应商/提取路线记录</x:v>
      </x:c>
      <x:c r="F6" s="31" t="str">
        <x:v>减少批次噪声</x:v>
      </x:c>
      <x:c r="G6" s="31" t="str">
        <x:v>★★★★★</x:v>
      </x:c>
      <x:c r="H6" s="31" t="str">
        <x:v>新生阶段不要同时铺开多来源</x:v>
      </x:c>
    </x:row>
    <x:row r="7">
      <x:c r="A7" s="31" t="str">
        <x:v>输入-原料</x:v>
      </x:c>
      <x:c r="B7" s="31" t="str">
        <x:v>分子量 Mw</x:v>
      </x:c>
      <x:c r="C7" s="31" t="str">
        <x:v>连续变量</x:v>
      </x:c>
      <x:c r="D7" s="31" t="str">
        <x:v>每批次至少GPC测定；可用2–5个分级水平</x:v>
      </x:c>
      <x:c r="E7" s="31" t="str">
        <x:v>GPC/SEC</x:v>
      </x:c>
      <x:c r="F7" s="31" t="str">
        <x:v>解释前驱体裂解/缩合行为</x:v>
      </x:c>
      <x:c r="G7" s="31" t="str">
        <x:v>★★★★★</x:v>
      </x:c>
      <x:c r="H7" s="31" t="str">
        <x:v>Liu 2024证明影响显著</x:v>
      </x:c>
    </x:row>
    <x:row r="8">
      <x:c r="A8" s="31" t="str">
        <x:v>输入-原料</x:v>
      </x:c>
      <x:c r="B8" s="31" t="str">
        <x:v>PDI</x:v>
      </x:c>
      <x:c r="C8" s="31" t="str">
        <x:v>连续变量</x:v>
      </x:c>
      <x:c r="D8" s="31" t="str">
        <x:v>随Mw同步记录</x:v>
      </x:c>
      <x:c r="E8" s="31" t="str">
        <x:v>GPC/SEC</x:v>
      </x:c>
      <x:c r="F8" s="31" t="str">
        <x:v>描述木质素分布宽度</x:v>
      </x:c>
      <x:c r="G8" s="31" t="str">
        <x:v>★★★★</x:v>
      </x:c>
      <x:c r="H8" s="31" t="str">
        <x:v>与Mw联用</x:v>
      </x:c>
    </x:row>
    <x:row r="9">
      <x:c r="A9" s="31" t="str">
        <x:v>输入-原料</x:v>
      </x:c>
      <x:c r="B9" s="31" t="str">
        <x:v>酚羟基含量</x:v>
      </x:c>
      <x:c r="C9" s="31" t="str">
        <x:v>连续变量</x:v>
      </x:c>
      <x:c r="D9" s="31" t="str">
        <x:v>批次表征</x:v>
      </x:c>
      <x:c r="E9" s="31" t="str">
        <x:v>31P NMR或可行化学定量</x:v>
      </x:c>
      <x:c r="F9" s="31" t="str">
        <x:v>表面活性/碳化前驱特征</x:v>
      </x:c>
      <x:c r="G9" s="31" t="str">
        <x:v>★★★★</x:v>
      </x:c>
      <x:c r="H9" s="31" t="str">
        <x:v>仪器受限可FTIR半定量</x:v>
      </x:c>
    </x:row>
    <x:row r="10">
      <x:c r="A10" s="31" t="str">
        <x:v>输入-原料</x:v>
      </x:c>
      <x:c r="B10" s="31" t="str">
        <x:v>S/O/N元素含量</x:v>
      </x:c>
      <x:c r="C10" s="31" t="str">
        <x:v>连续变量</x:v>
      </x:c>
      <x:c r="D10" s="31" t="str">
        <x:v>每批/代表样品</x:v>
      </x:c>
      <x:c r="E10" s="31" t="str">
        <x:v>元素分析/XPS</x:v>
      </x:c>
      <x:c r="F10" s="31" t="str">
        <x:v>掺杂与表面化学</x:v>
      </x:c>
      <x:c r="G10" s="31" t="str">
        <x:v>★★★★</x:v>
      </x:c>
      <x:c r="H10" s="31" t="str">
        <x:v>Kraft木质素特别记录S</x:v>
      </x:c>
    </x:row>
    <x:row r="11">
      <x:c r="A11" s="31" t="str">
        <x:v>输入-合成</x:v>
      </x:c>
      <x:c r="B11" s="31" t="str">
        <x:v>木质素浓度/质量</x:v>
      </x:c>
      <x:c r="C11" s="31" t="str">
        <x:v>连续变量</x:v>
      </x:c>
      <x:c r="D11" s="31" t="str">
        <x:v>初筛3–5水平</x:v>
      </x:c>
      <x:c r="E11" s="31" t="str">
        <x:v>质量/体积</x:v>
      </x:c>
      <x:c r="F11" s="31" t="str">
        <x:v>控制成核与碳化程度</x:v>
      </x:c>
      <x:c r="G11" s="31" t="str">
        <x:v>★★★★★</x:v>
      </x:c>
      <x:c r="H11" s="31" t="str">
        <x:v>Aparício 2025显示显著</x:v>
      </x:c>
    </x:row>
    <x:row r="12">
      <x:c r="A12" s="31" t="str">
        <x:v>输入-合成</x:v>
      </x:c>
      <x:c r="B12" s="31" t="str">
        <x:v>反应温度</x:v>
      </x:c>
      <x:c r="C12" s="31" t="str">
        <x:v>连续变量</x:v>
      </x:c>
      <x:c r="D12" s="31" t="str">
        <x:v>建议160–220°C内按设备安全范围DOE</x:v>
      </x:c>
      <x:c r="E12" s="31" t="str">
        <x:v>反应釜设定</x:v>
      </x:c>
      <x:c r="F12" s="31" t="str">
        <x:v>影响碳化/石墨化</x:v>
      </x:c>
      <x:c r="G12" s="31" t="str">
        <x:v>★★★★★</x:v>
      </x:c>
      <x:c r="H12" s="31" t="str">
        <x:v>核心输入</x:v>
      </x:c>
    </x:row>
    <x:row r="13">
      <x:c r="A13" s="31" t="str">
        <x:v>输入-合成</x:v>
      </x:c>
      <x:c r="B13" s="31" t="str">
        <x:v>反应时间</x:v>
      </x:c>
      <x:c r="C13" s="31" t="str">
        <x:v>连续变量</x:v>
      </x:c>
      <x:c r="D13" s="31" t="str">
        <x:v>建议2–12 h；快速氧化路线另设分钟级</x:v>
      </x:c>
      <x:c r="E13" s="31" t="str">
        <x:v>计时</x:v>
      </x:c>
      <x:c r="F13" s="31" t="str">
        <x:v>影响碳化和表面氧化</x:v>
      </x:c>
      <x:c r="G13" s="31" t="str">
        <x:v>★★★★</x:v>
      </x:c>
      <x:c r="H13" s="31" t="str">
        <x:v>需在本体系验证显著性</x:v>
      </x:c>
    </x:row>
    <x:row r="14">
      <x:c r="A14" s="31" t="str">
        <x:v>输入-合成</x:v>
      </x:c>
      <x:c r="B14" s="31" t="str">
        <x:v>乙二胺/木质素比</x:v>
      </x:c>
      <x:c r="C14" s="31" t="str">
        <x:v>连续变量</x:v>
      </x:c>
      <x:c r="D14" s="31" t="str">
        <x:v>0 + 3–5个水平</x:v>
      </x:c>
      <x:c r="E14" s="31" t="str">
        <x:v>质量比或等效量</x:v>
      </x:c>
      <x:c r="F14" s="31" t="str">
        <x:v>N掺杂/¹O2/表面电荷</x:v>
      </x:c>
      <x:c r="G14" s="31" t="str">
        <x:v>★★★★★</x:v>
      </x:c>
      <x:c r="H14" s="31" t="str">
        <x:v>与2026 CEJ直接对标</x:v>
      </x:c>
    </x:row>
    <x:row r="15">
      <x:c r="A15" s="31" t="str">
        <x:v>输入-合成</x:v>
      </x:c>
      <x:c r="B15" s="31" t="str">
        <x:v>酸类型</x:v>
      </x:c>
      <x:c r="C15" s="31" t="str">
        <x:v>分类变量</x:v>
      </x:c>
      <x:c r="D15" s="31" t="str">
        <x:v>无酸/草酸/柠檬酸等少量候选</x:v>
      </x:c>
      <x:c r="E15" s="31" t="str">
        <x:v>配方</x:v>
      </x:c>
      <x:c r="F15" s="31" t="str">
        <x:v>调控C=O/COOH及纳米酶活性</x:v>
      </x:c>
      <x:c r="G15" s="31" t="str">
        <x:v>★★★★</x:v>
      </x:c>
      <x:c r="H15" s="31" t="str">
        <x:v>不要一次引入太多类别</x:v>
      </x:c>
    </x:row>
    <x:row r="16">
      <x:c r="A16" s="31" t="str">
        <x:v>输入-合成</x:v>
      </x:c>
      <x:c r="B16" s="31" t="str">
        <x:v>酸或H2O2用量</x:v>
      </x:c>
      <x:c r="C16" s="31" t="str">
        <x:v>连续变量</x:v>
      </x:c>
      <x:c r="D16" s="31" t="str">
        <x:v>按安全规范设置3–5水平</x:v>
      </x:c>
      <x:c r="E16" s="31" t="str">
        <x:v>配方</x:v>
      </x:c>
      <x:c r="F16" s="31" t="str">
        <x:v>氧化/解聚/表面官能化</x:v>
      </x:c>
      <x:c r="G16" s="31" t="str">
        <x:v>★★★★</x:v>
      </x:c>
      <x:c r="H16" s="31" t="str">
        <x:v>Yang 2024/HNO3文献可参考</x:v>
      </x:c>
    </x:row>
    <x:row r="17">
      <x:c r="A17" s="31" t="str">
        <x:v>输入-合成</x:v>
      </x:c>
      <x:c r="B17" s="31" t="str">
        <x:v>初始pH</x:v>
      </x:c>
      <x:c r="C17" s="31" t="str">
        <x:v>连续变量</x:v>
      </x:c>
      <x:c r="D17" s="31" t="str">
        <x:v>记录实际值；必要时主动设计</x:v>
      </x:c>
      <x:c r="E17" s="31" t="str">
        <x:v>pH计</x:v>
      </x:c>
      <x:c r="F17" s="31" t="str">
        <x:v>影响表面态与反应路径</x:v>
      </x:c>
      <x:c r="G17" s="31" t="str">
        <x:v>★★★★</x:v>
      </x:c>
      <x:c r="H17" s="31" t="str">
        <x:v>亦影响抗菌/ROS测试</x:v>
      </x:c>
    </x:row>
    <x:row r="18">
      <x:c r="A18" s="31" t="str">
        <x:v>输入-纯化</x:v>
      </x:c>
      <x:c r="B18" s="31" t="str">
        <x:v>透析MWCO/时间</x:v>
      </x:c>
      <x:c r="C18" s="31" t="str">
        <x:v>分类+连续</x:v>
      </x:c>
      <x:c r="D18" s="31" t="str">
        <x:v>固定后尽量不变</x:v>
      </x:c>
      <x:c r="E18" s="31" t="str">
        <x:v>实验记录</x:v>
      </x:c>
      <x:c r="F18" s="31" t="str">
        <x:v>影响小分子荧光体残留</x:v>
      </x:c>
      <x:c r="G18" s="31" t="str">
        <x:v>★★★★</x:v>
      </x:c>
      <x:c r="H18" s="31" t="str">
        <x:v>数据集必须保证纯化一致</x:v>
      </x:c>
    </x:row>
    <x:row r="19">
      <x:c r="A19" s="31" t="str">
        <x:v>中间表征</x:v>
      </x:c>
      <x:c r="B19" s="31" t="str">
        <x:v>粒径</x:v>
      </x:c>
      <x:c r="C19" s="31" t="str">
        <x:v>连续输出/特征</x:v>
      </x:c>
      <x:c r="D19" s="31" t="str">
        <x:v>每个样品</x:v>
      </x:c>
      <x:c r="E19" s="31" t="str">
        <x:v>TEM/DLS</x:v>
      </x:c>
      <x:c r="F19" s="31" t="str">
        <x:v>核心结构特征</x:v>
      </x:c>
      <x:c r="G19" s="31" t="str">
        <x:v>★★★★★</x:v>
      </x:c>
      <x:c r="H19" s="31" t="str">
        <x:v>TEM与DLS分开记录</x:v>
      </x:c>
    </x:row>
    <x:row r="20">
      <x:c r="A20" s="31" t="str">
        <x:v>中间表征</x:v>
      </x:c>
      <x:c r="B20" s="31" t="str">
        <x:v>Zeta电位</x:v>
      </x:c>
      <x:c r="C20" s="31" t="str">
        <x:v>连续输出/特征</x:v>
      </x:c>
      <x:c r="D20" s="31" t="str">
        <x:v>每个样品；固定pH/离子强度</x:v>
      </x:c>
      <x:c r="E20" s="31" t="str">
        <x:v>Zeta</x:v>
      </x:c>
      <x:c r="F20" s="31" t="str">
        <x:v>与细菌膜相互作用相关</x:v>
      </x:c>
      <x:c r="G20" s="31" t="str">
        <x:v>★★★★★</x:v>
      </x:c>
      <x:c r="H20" s="31" t="str">
        <x:v>测量条件必须标准化</x:v>
      </x:c>
    </x:row>
    <x:row r="21">
      <x:c r="A21" s="31" t="str">
        <x:v>中间表征</x:v>
      </x:c>
      <x:c r="B21" s="31" t="str">
        <x:v>N/C、O/C、S/C</x:v>
      </x:c>
      <x:c r="C21" s="31" t="str">
        <x:v>连续输出/特征</x:v>
      </x:c>
      <x:c r="D21" s="31" t="str">
        <x:v>代表样品或每样品</x:v>
      </x:c>
      <x:c r="E21" s="31" t="str">
        <x:v>XPS</x:v>
      </x:c>
      <x:c r="F21" s="31" t="str">
        <x:v>表面化学/掺杂程度</x:v>
      </x:c>
      <x:c r="G21" s="31" t="str">
        <x:v>★★★★★</x:v>
      </x:c>
      <x:c r="H21" s="31" t="str">
        <x:v>解释抗菌机制关键</x:v>
      </x:c>
    </x:row>
    <x:row r="22">
      <x:c r="A22" s="31" t="str">
        <x:v>中间表征</x:v>
      </x:c>
      <x:c r="B22" s="31" t="str">
        <x:v>sp2/sp3、C=O、COOH、C-N比例</x:v>
      </x:c>
      <x:c r="C22" s="31" t="str">
        <x:v>连续输出/特征</x:v>
      </x:c>
      <x:c r="D22" s="31" t="str">
        <x:v>至少关键DOE点</x:v>
      </x:c>
      <x:c r="E22" s="31" t="str">
        <x:v>XPS/Raman</x:v>
      </x:c>
      <x:c r="F22" s="31" t="str">
        <x:v>构效解释</x:v>
      </x:c>
      <x:c r="G22" s="31" t="str">
        <x:v>★★★★★</x:v>
      </x:c>
      <x:c r="H22" s="31" t="str">
        <x:v>适合SHAP解释</x:v>
      </x:c>
    </x:row>
    <x:row r="23">
      <x:c r="A23" s="31" t="str">
        <x:v>中间表征</x:v>
      </x:c>
      <x:c r="B23" s="31" t="str">
        <x:v>荧光量子产率</x:v>
      </x:c>
      <x:c r="C23" s="31" t="str">
        <x:v>连续输出</x:v>
      </x:c>
      <x:c r="D23" s="31" t="str">
        <x:v>每个样品</x:v>
      </x:c>
      <x:c r="E23" s="31" t="str">
        <x:v>标准法/积分球</x:v>
      </x:c>
      <x:c r="F23" s="31" t="str">
        <x:v>光学性质</x:v>
      </x:c>
      <x:c r="G23" s="31" t="str">
        <x:v>★★★★</x:v>
      </x:c>
      <x:c r="H23" s="31" t="str">
        <x:v>辅助任务，不应替代抗菌终点</x:v>
      </x:c>
    </x:row>
    <x:row r="24">
      <x:c r="A24" s="31" t="str">
        <x:v>中间表征</x:v>
      </x:c>
      <x:c r="B24" s="31" t="str">
        <x:v>¹O2量子产率/ROS</x:v>
      </x:c>
      <x:c r="C24" s="31" t="str">
        <x:v>连续输出</x:v>
      </x:c>
      <x:c r="D24" s="31" t="str">
        <x:v>光动力路线每个关键样</x:v>
      </x:c>
      <x:c r="E24" s="31" t="str">
        <x:v>ABDA/TEMP-ESR等</x:v>
      </x:c>
      <x:c r="F24" s="31" t="str">
        <x:v>桥接光物理与抗菌</x:v>
      </x:c>
      <x:c r="G24" s="31" t="str">
        <x:v>★★★★★</x:v>
      </x:c>
      <x:c r="H24" s="31" t="str">
        <x:v>光动力抗菌核心输出</x:v>
      </x:c>
    </x:row>
    <x:row r="25">
      <x:c r="A25" s="31" t="str">
        <x:v>最终输出</x:v>
      </x:c>
      <x:c r="B25" s="31" t="str">
        <x:v>MIC/MBC</x:v>
      </x:c>
      <x:c r="C25" s="31" t="str">
        <x:v>连续/离散</x:v>
      </x:c>
      <x:c r="D25" s="31" t="str">
        <x:v>至少E. coli + S. aureus</x:v>
      </x:c>
      <x:c r="E25" s="31" t="str">
        <x:v>标准微量稀释法</x:v>
      </x:c>
      <x:c r="F25" s="31" t="str">
        <x:v>抗菌核心终点</x:v>
      </x:c>
      <x:c r="G25" s="31" t="str">
        <x:v>★★★★★</x:v>
      </x:c>
      <x:c r="H25" s="31" t="str">
        <x:v>比单纯抑菌圈更适合建模</x:v>
      </x:c>
    </x:row>
    <x:row r="26">
      <x:c r="A26" s="31" t="str">
        <x:v>最终输出</x:v>
      </x:c>
      <x:c r="B26" s="31" t="str">
        <x:v>杀菌率/CFU下降</x:v>
      </x:c>
      <x:c r="C26" s="31" t="str">
        <x:v>连续</x:v>
      </x:c>
      <x:c r="D26" s="31" t="str">
        <x:v>统一初始菌浓度与作用时间</x:v>
      </x:c>
      <x:c r="E26" s="31" t="str">
        <x:v>平板计数</x:v>
      </x:c>
      <x:c r="F26" s="31" t="str">
        <x:v>抗菌核心终点</x:v>
      </x:c>
      <x:c r="G26" s="31" t="str">
        <x:v>★★★★★</x:v>
      </x:c>
      <x:c r="H26" s="31" t="str">
        <x:v>推荐作为主模型y</x:v>
      </x:c>
    </x:row>
    <x:row r="27">
      <x:c r="A27" s="31" t="str">
        <x:v>最终输出</x:v>
      </x:c>
      <x:c r="B27" s="31" t="str">
        <x:v>抑菌圈 ZOI</x:v>
      </x:c>
      <x:c r="C27" s="31" t="str">
        <x:v>连续</x:v>
      </x:c>
      <x:c r="D27" s="31" t="str">
        <x:v>可作为辅助</x:v>
      </x:c>
      <x:c r="E27" s="31" t="str">
        <x:v>disk diffusion</x:v>
      </x:c>
      <x:c r="F27" s="31" t="str">
        <x:v>快速筛选</x:v>
      </x:c>
      <x:c r="G27" s="31" t="str">
        <x:v>★★★</x:v>
      </x:c>
      <x:c r="H27" s="31" t="str">
        <x:v>受扩散影响，不宜唯一终点</x:v>
      </x:c>
    </x:row>
    <x:row r="28">
      <x:c r="A28" s="31" t="str">
        <x:v>最终输出</x:v>
      </x:c>
      <x:c r="B28" s="31" t="str">
        <x:v>细胞存活率</x:v>
      </x:c>
      <x:c r="C28" s="31" t="str">
        <x:v>连续</x:v>
      </x:c>
      <x:c r="D28" s="31" t="str">
        <x:v>高性能候选样</x:v>
      </x:c>
      <x:c r="E28" s="31" t="str">
        <x:v>MTT/CCK-8</x:v>
      </x:c>
      <x:c r="F28" s="31" t="str">
        <x:v>安全性约束目标</x:v>
      </x:c>
      <x:c r="G28" s="31" t="str">
        <x:v>★★★★</x:v>
      </x:c>
      <x:c r="H28" s="31" t="str">
        <x:v>可做多目标优化约束</x:v>
      </x:c>
    </x:row>
    <x:row r="29">
      <x:c r="A29" s="31" t="str">
        <x:v>模型策略</x:v>
      </x:c>
      <x:c r="B29" s="31" t="str">
        <x:v>第一版模型</x:v>
      </x:c>
      <x:c r="C29" s="31" t="str">
        <x:v>方法</x:v>
      </x:c>
      <x:c r="D29" s="31" t="str">
        <x:v>n≈30–50优先RF/XGBoost/Gaussian Process</x:v>
      </x:c>
      <x:c r="E29" s="31" t="str">
        <x:v>Python</x:v>
      </x:c>
      <x:c r="F29" s="31" t="str">
        <x:v>小样本、非线性</x:v>
      </x:c>
      <x:c r="G29" s="31" t="str">
        <x:v>★★★★★</x:v>
      </x:c>
      <x:c r="H29" s="31" t="str">
        <x:v>避免一开始用深度学习</x:v>
      </x:c>
    </x:row>
    <x:row r="30">
      <x:c r="A30" s="31" t="str">
        <x:v>模型策略</x:v>
      </x:c>
      <x:c r="B30" s="31" t="str">
        <x:v>可解释性</x:v>
      </x:c>
      <x:c r="C30" s="31" t="str">
        <x:v>方法</x:v>
      </x:c>
      <x:c r="D30" s="31" t="str">
        <x:v>SHAP + PDP/ICE</x:v>
      </x:c>
      <x:c r="E30" s="31" t="str">
        <x:v>Python</x:v>
      </x:c>
      <x:c r="F30" s="31" t="str">
        <x:v>解释变量贡献和交互</x:v>
      </x:c>
      <x:c r="G30" s="31" t="str">
        <x:v>★★★★★</x:v>
      </x:c>
      <x:c r="H30" s="31" t="str">
        <x:v>保证论文不是黑箱</x:v>
      </x:c>
    </x:row>
    <x:row r="31">
      <x:c r="A31" s="31" t="str">
        <x:v>模型策略</x:v>
      </x:c>
      <x:c r="B31" s="31" t="str">
        <x:v>下一轮实验推荐</x:v>
      </x:c>
      <x:c r="C31" s="31" t="str">
        <x:v>方法</x:v>
      </x:c>
      <x:c r="D31" s="31" t="str">
        <x:v>Bayesian Optimization / Gaussian Process</x:v>
      </x:c>
      <x:c r="E31" s="31" t="str">
        <x:v>Python</x:v>
      </x:c>
      <x:c r="F31" s="31" t="str">
        <x:v>主动学习减少实验量</x:v>
      </x:c>
      <x:c r="G31" s="31" t="str">
        <x:v>★★★★★</x:v>
      </x:c>
      <x:c r="H31" s="31" t="str">
        <x:v>形成模型→推荐→验证闭环</x:v>
      </x:c>
    </x:row>
    <x:row r="32">
      <x:c r="A32" s="31" t="str">
        <x:v>实验设计</x:v>
      </x:c>
      <x:c r="B32" s="31" t="str">
        <x:v>建议第一阶段样本量</x:v>
      </x:c>
      <x:c r="C32" s="31" t="str">
        <x:v>整数</x:v>
      </x:c>
      <x:c r="D32" s="31" t="str">
        <x:v>30–40组设计实验 + 5–10组外部验证</x:v>
      </x:c>
      <x:c r="E32" s="31" t="str">
        <x:v>DOE/拉丁超立方/CCD</x:v>
      </x:c>
      <x:c r="F32" s="31" t="str">
        <x:v>保证可建模</x:v>
      </x:c>
      <x:c r="G32" s="31" t="str">
        <x:v>★★★★★</x:v>
      </x:c>
      <x:c r="H32" s="31" t="str">
        <x:v>宁可变量少、数据质量高</x:v>
      </x:c>
    </x:row>
    <x:row r="33">
      <x:c r="A33" s="31" t="str">
        <x:v>实验设计</x:v>
      </x:c>
      <x:c r="B33" s="31" t="str">
        <x:v>菌株设置</x:v>
      </x:c>
      <x:c r="C33" s="31" t="str">
        <x:v>分类变量</x:v>
      </x:c>
      <x:c r="D33" s="31" t="str">
        <x:v>先固定E. coli + S. aureus；后扩耐药菌</x:v>
      </x:c>
      <x:c r="E33" s="31" t="str">
        <x:v>标准菌株</x:v>
      </x:c>
      <x:c r="F33" s="31" t="str">
        <x:v>减少输出噪声</x:v>
      </x:c>
      <x:c r="G33" s="31" t="str">
        <x:v>★★★★★</x:v>
      </x:c>
      <x:c r="H33" s="31" t="str">
        <x:v>统一菌浓度、作用时间、光照条件</x:v>
      </x:c>
    </x:row>
  </x:sheetData>
  <x:mergeCells>
    <x:mergeCell ref="A1:H1"/>
    <x:mergeCell ref="A2:H3"/>
  </x:mergeCells>
  <x:conditionalFormatting sqref="G6:G33">
    <x:cfRule type="expression" dxfId="5" priority="1">
      <x:formula>G6="★★★★★"</x:formula>
    </x:cfRule>
    <x:cfRule type="expression" dxfId="6" priority="2">
      <x:formula>G6="★★★★"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8f9a85e5124e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55" hidden="0" customWidth="1"/>
    <x:col min="5" max="5" width="14" hidden="0" customWidth="1"/>
  </x:cols>
  <x:sheetData>
    <x:row r="1">
      <x:c r="A1" s="5" t="str">
        <x:v>建议给新生的阅读顺序（先搭框架，再看实验细节）</x:v>
      </x:c>
      <x:c r="B1" s="5"/>
      <x:c r="C1" s="5"/>
      <x:c r="D1" s="5"/>
      <x:c r="E1" s="5"/>
    </x:row>
    <x:row r="3">
      <x:c r="A3" s="30" t="str">
        <x:v>顺序</x:v>
      </x:c>
      <x:c r="B3" s="30" t="str">
        <x:v>文献ID</x:v>
      </x:c>
      <x:c r="C3" s="30" t="str">
        <x:v>文献</x:v>
      </x:c>
      <x:c r="D3" s="30" t="str">
        <x:v>阅读目的</x:v>
      </x:c>
      <x:c r="E3" s="30" t="str">
        <x:v>建议用时</x:v>
      </x:c>
    </x:row>
    <x:row r="4">
      <x:c r="A4" s="31" t="n">
        <x:v>1</x:v>
      </x:c>
      <x:c r="B4" s="31" t="str">
        <x:v>C02</x:v>
      </x:c>
      <x:c r="C4" s="31" t="str">
        <x:v>Yin 2025 Exploration综述</x:v>
      </x:c>
      <x:c r="D4" s="31" t="str">
        <x:v>先建立木质素CQDs制备与应用全景，重点看抗菌章节</x:v>
      </x:c>
      <x:c r="E4" s="31" t="str">
        <x:v>1–2天</x:v>
      </x:c>
    </x:row>
    <x:row r="5">
      <x:c r="A5" s="31" t="n">
        <x:v>2</x:v>
      </x:c>
      <x:c r="B5" s="31" t="str">
        <x:v>A01</x:v>
      </x:c>
      <x:c r="C5" s="31" t="str">
        <x:v>Wang 2026 CEJ</x:v>
      </x:c>
      <x:c r="D5" s="31" t="str">
        <x:v>理解N掺杂→¹O2→光动力抗菌→创面应用闭环</x:v>
      </x:c>
      <x:c r="E5" s="31" t="str">
        <x:v>2天</x:v>
      </x:c>
    </x:row>
    <x:row r="6">
      <x:c r="A6" s="31" t="n">
        <x:v>3</x:v>
      </x:c>
      <x:c r="B6" s="31" t="str">
        <x:v>A02</x:v>
      </x:c>
      <x:c r="C6" s="31" t="str">
        <x:v>Pan 2024 CEJ</x:v>
      </x:c>
      <x:c r="D6" s="31" t="str">
        <x:v>学习C=O/COOH表面位点→POD/CAT→ROS平衡抗菌</x:v>
      </x:c>
      <x:c r="E6" s="31" t="str">
        <x:v>2天</x:v>
      </x:c>
    </x:row>
    <x:row r="7">
      <x:c r="A7" s="31" t="n">
        <x:v>4</x:v>
      </x:c>
      <x:c r="B7" s="31" t="str">
        <x:v>B01</x:v>
      </x:c>
      <x:c r="C7" s="31" t="str">
        <x:v>Aparício 2025 IJBM</x:v>
      </x:c>
      <x:c r="D7" s="31" t="str">
        <x:v>学习30组RSM设计；直接改造成机器学习实验框架</x:v>
      </x:c>
      <x:c r="E7" s="31" t="str">
        <x:v>2天</x:v>
      </x:c>
    </x:row>
    <x:row r="8">
      <x:c r="A8" s="31" t="n">
        <x:v>5</x:v>
      </x:c>
      <x:c r="B8" s="31" t="str">
        <x:v>B02</x:v>
      </x:c>
      <x:c r="C8" s="31" t="str">
        <x:v>Liu 2024 Green Chemistry</x:v>
      </x:c>
      <x:c r="D8" s="31" t="str">
        <x:v>理解木质素Mw为什么必须作为原料特征</x:v>
      </x:c>
      <x:c r="E8" s="31" t="str">
        <x:v>1–2天</x:v>
      </x:c>
    </x:row>
    <x:row r="9">
      <x:c r="A9" s="31" t="n">
        <x:v>6</x:v>
      </x:c>
      <x:c r="B9" s="31" t="str">
        <x:v>B03</x:v>
      </x:c>
      <x:c r="C9" s="31" t="str">
        <x:v>Zhu 2024 Bioresource Technology</x:v>
      </x:c>
      <x:c r="D9" s="31" t="str">
        <x:v>理解CQDs形成机理，支撑后续SHAP解释</x:v>
      </x:c>
      <x:c r="E9" s="31" t="str">
        <x:v>2天</x:v>
      </x:c>
    </x:row>
    <x:row r="10">
      <x:c r="A10" s="31" t="n">
        <x:v>7</x:v>
      </x:c>
      <x:c r="B10" s="31" t="str">
        <x:v>A05</x:v>
      </x:c>
      <x:c r="C10" s="31" t="str">
        <x:v>Yang 2024 ACS AMN</x:v>
      </x:c>
      <x:c r="D10" s="31" t="str">
        <x:v>工艺参数完整；学习光激活抗菌与膜应用</x:v>
      </x:c>
      <x:c r="E10" s="31" t="str">
        <x:v>1–2天</x:v>
      </x:c>
    </x:row>
    <x:row r="11">
      <x:c r="A11" s="31" t="n">
        <x:v>8</x:v>
      </x:c>
      <x:c r="B11" s="31" t="str">
        <x:v>A03</x:v>
      </x:c>
      <x:c r="C11" s="31" t="str">
        <x:v>Faria 2026 IJMS</x:v>
      </x:c>
      <x:c r="D11" s="31" t="str">
        <x:v>绿色两步法+抗菌+成像；适合新生复现实验思路</x:v>
      </x:c>
      <x:c r="E11" s="31" t="str">
        <x:v>1天</x:v>
      </x:c>
    </x:row>
    <x:row r="12">
      <x:c r="A12" s="31" t="n">
        <x:v>9</x:v>
      </x:c>
      <x:c r="B12" s="31" t="str">
        <x:v>A09</x:v>
      </x:c>
      <x:c r="C12" s="31" t="str">
        <x:v>Sangeetha 2024 IJBM</x:v>
      </x:c>
      <x:c r="D12" s="31" t="str">
        <x:v>若走包装方向，学习胺化LCDs+卡拉胶智能抗菌膜</x:v>
      </x:c>
      <x:c r="E12" s="31" t="str">
        <x:v>1–2天</x:v>
      </x:c>
    </x:row>
    <x:row r="13">
      <x:c r="A13" s="31" t="n">
        <x:v>10</x:v>
      </x:c>
      <x:c r="B13" s="31" t="str">
        <x:v>A08</x:v>
      </x:c>
      <x:c r="C13" s="31" t="str">
        <x:v>Zheng 2025 PES</x:v>
      </x:c>
      <x:c r="D13" s="31" t="str">
        <x:v>比较PVA抗菌包装路线，确定应用端评价指标</x:v>
      </x:c>
      <x:c r="E13" s="31" t="str">
        <x:v>1天</x:v>
      </x:c>
    </x:row>
    <x:row r="14">
      <x:c r="A14" s="31" t="n">
        <x:v>11</x:v>
      </x:c>
      <x:c r="B14" s="31" t="str">
        <x:v>C01</x:v>
      </x:c>
      <x:c r="C14" s="31" t="str">
        <x:v>Sareen 2026 MTS</x:v>
      </x:c>
      <x:c r="D14" s="31" t="str">
        <x:v>从系统综述反向扩充历史合成参数数据库</x:v>
      </x:c>
      <x:c r="E14" s="31" t="str">
        <x:v>持续</x:v>
      </x:c>
    </x:row>
    <x:row r="15">
      <x:c r="A15" s="31" t="n">
        <x:v>12</x:v>
      </x:c>
      <x:c r="B15" s="31" t="str">
        <x:v>C03</x:v>
      </x:c>
      <x:c r="C15" s="31" t="str">
        <x:v>Aparício 2025 AESR</x:v>
      </x:c>
      <x:c r="D15" s="31" t="str">
        <x:v>补掺杂策略与标准化问题</x:v>
      </x:c>
      <x:c r="E15" s="31" t="str">
        <x:v>1天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10b1e6fdd24e41"/>
  </x:tableParts>
</x:worksheet>
</file>